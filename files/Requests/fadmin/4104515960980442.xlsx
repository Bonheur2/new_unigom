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TEC LTD\Documents\"/>
    </mc:Choice>
  </mc:AlternateContent>
  <bookViews>
    <workbookView xWindow="0" yWindow="0" windowWidth="19155" windowHeight="6975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Sheet1!$A:$A,Sheet1!$1:$1</definedName>
    <definedName name="QB_COLUMN_1" localSheetId="0" hidden="1">Sheet1!#REF!</definedName>
    <definedName name="QB_COLUMN_16" localSheetId="0" hidden="1">Sheet1!#REF!</definedName>
    <definedName name="QB_COLUMN_3" localSheetId="0" hidden="1">Sheet1!$B$1</definedName>
    <definedName name="QB_COLUMN_30" localSheetId="0" hidden="1">Sheet1!$E$1</definedName>
    <definedName name="QB_COLUMN_31" localSheetId="0" hidden="1">Sheet1!$F$1</definedName>
    <definedName name="QB_COLUMN_4" localSheetId="0" hidden="1">Sheet1!$D$1</definedName>
    <definedName name="QB_COLUMN_5" localSheetId="0" hidden="1">Sheet1!#REF!</definedName>
    <definedName name="QB_DATA_0" localSheetId="0" hidden="1">Sheet1!$2:$2,Sheet1!$3:$3,Sheet1!$4:$4,Sheet1!$5:$5,Sheet1!$7:$7,Sheet1!$8:$8,Sheet1!$9:$9,Sheet1!$10:$10,Sheet1!$11:$11,Sheet1!$12:$12,Sheet1!$13:$13,Sheet1!$14:$14,Sheet1!$15:$15,Sheet1!$16:$16,Sheet1!$17:$17,Sheet1!$19:$19</definedName>
    <definedName name="QB_DATA_1" localSheetId="0" hidden="1">Sheet1!$21:$21,Sheet1!$22:$22,Sheet1!$24:$24,Sheet1!$25:$25,Sheet1!$26:$26,Sheet1!$28:$28,Sheet1!$30:$30,Sheet1!$31:$31,Sheet1!$33:$33,Sheet1!$34:$34,Sheet1!$35:$35,Sheet1!$37:$37,Sheet1!$38:$38,Sheet1!$39:$39,Sheet1!$41:$41,Sheet1!$42:$42</definedName>
    <definedName name="QB_DATA_10" localSheetId="0" hidden="1">Sheet1!$180:$180,Sheet1!$181:$181,Sheet1!$182:$182,Sheet1!#REF!,Sheet1!#REF!,Sheet1!#REF!,Sheet1!#REF!,Sheet1!$183:$183,Sheet1!$184:$184,Sheet1!$185:$185,Sheet1!$186:$186,Sheet1!$187:$187,Sheet1!$188:$188,Sheet1!$189:$189,Sheet1!$190:$190,Sheet1!$191:$191</definedName>
    <definedName name="QB_DATA_11" localSheetId="0" hidden="1">Sheet1!$192:$192,Sheet1!$193:$193,Sheet1!$194:$194,Sheet1!$195:$195,Sheet1!$196:$196,Sheet1!$197:$197,Sheet1!#REF!,Sheet1!#REF!,Sheet1!#REF!,Sheet1!#REF!,Sheet1!#REF!,Sheet1!$198:$198,Sheet1!$199:$199,Sheet1!$200:$200,Sheet1!$201:$201,Sheet1!$202:$202</definedName>
    <definedName name="QB_DATA_12" localSheetId="0" hidden="1">Sheet1!$203:$203,Sheet1!$204:$204,Sheet1!$205:$205,Sheet1!$206:$206,Sheet1!$207:$207,Sheet1!$208:$208,Sheet1!$209:$209,Sheet1!$210:$210,Sheet1!$211:$211,Sheet1!$212:$212,Sheet1!$213:$213,Sheet1!$214:$214,Sheet1!$215:$215,Sheet1!#REF!,Sheet1!#REF!,Sheet1!#REF!</definedName>
    <definedName name="QB_DATA_13" localSheetId="0" hidden="1">Sheet1!$216:$216,Sheet1!$217:$217,Sheet1!$218:$218,Sheet1!$219:$219,Sheet1!$220:$220,Sheet1!$221:$221,Sheet1!$222:$222,Sheet1!$223:$223,Sheet1!$224:$224,Sheet1!$225:$225,Sheet1!$226:$226,Sheet1!$227:$227,Sheet1!$228:$228,Sheet1!$229:$229,Sheet1!#REF!,Sheet1!$230:$230</definedName>
    <definedName name="QB_DATA_14" localSheetId="0" hidden="1">Sheet1!$231:$231,Sheet1!$232:$232,Sheet1!$233:$233,Sheet1!$234:$234,Sheet1!$235:$235,Sheet1!$236:$236,Sheet1!$237:$237,Sheet1!$238:$238,Sheet1!$239:$239,Sheet1!$240:$240,Sheet1!$241:$241,Sheet1!$242:$242,Sheet1!$243:$243,Sheet1!$244:$244,Sheet1!$245:$245,Sheet1!$246:$246</definedName>
    <definedName name="QB_DATA_15" localSheetId="0" hidden="1">Sheet1!$247:$247,Sheet1!$248:$248,Sheet1!$249:$249,Sheet1!$250:$250,Sheet1!$251:$251,Sheet1!$252:$252,Sheet1!$253:$253,Sheet1!$254:$254,Sheet1!$255:$255,Sheet1!$256:$256,Sheet1!$257:$257,Sheet1!$258:$258,Sheet1!$259:$259,Sheet1!$260:$260,Sheet1!$261:$261,Sheet1!$262:$262</definedName>
    <definedName name="QB_DATA_16" localSheetId="0" hidden="1">Sheet1!$263:$263,Sheet1!$264:$264,Sheet1!$265:$265,Sheet1!$266:$266,Sheet1!$267:$267,Sheet1!$268:$268,Sheet1!$269:$269,Sheet1!$270:$270,Sheet1!$271:$271,Sheet1!$272:$272,Sheet1!$273:$273,Sheet1!$274:$274,Sheet1!$275:$275,Sheet1!$276:$276,Sheet1!$277:$277,Sheet1!$278:$278</definedName>
    <definedName name="QB_DATA_17" localSheetId="0" hidden="1">Sheet1!$279:$279,Sheet1!$280:$280,Sheet1!$281:$281,Sheet1!#REF!,Sheet1!#REF!,Sheet1!$282:$282,Sheet1!$283:$283,Sheet1!$284:$284,Sheet1!$285:$285,Sheet1!#REF!,Sheet1!$286:$286,Sheet1!$287:$287,Sheet1!$288:$288,Sheet1!$289:$289,Sheet1!$290:$290,Sheet1!$291:$291</definedName>
    <definedName name="QB_DATA_18" localSheetId="0" hidden="1">Sheet1!$292:$292,Sheet1!$293:$293,Sheet1!$294:$294,Sheet1!$295:$295,Sheet1!$296:$296,Sheet1!$297:$297,Sheet1!$298:$298,Sheet1!$299:$299,Sheet1!$300:$300,Sheet1!#REF!,Sheet1!$301:$301,Sheet1!$302:$302,Sheet1!$303:$303,Sheet1!$304:$304,Sheet1!$305:$305,Sheet1!$306:$306</definedName>
    <definedName name="QB_DATA_19" localSheetId="0" hidden="1">Sheet1!$307:$307,Sheet1!$308:$308,Sheet1!$309:$309,Sheet1!$310:$310,Sheet1!$311:$311,Sheet1!$312:$312,Sheet1!$313:$313,Sheet1!#REF!,Sheet1!$314:$314,Sheet1!$315:$315,Sheet1!$316:$316,Sheet1!$317:$317,Sheet1!$318:$318,Sheet1!$319:$319,Sheet1!$320:$320,Sheet1!$321:$321</definedName>
    <definedName name="QB_DATA_2" localSheetId="0" hidden="1">Sheet1!$43:$43,Sheet1!$45:$45,Sheet1!$46:$46,Sheet1!$47:$47,Sheet1!$49:$49,Sheet1!$50:$50,Sheet1!$51:$51,Sheet1!$53:$53,Sheet1!$54:$54,Sheet1!$55:$55,Sheet1!$57:$57,Sheet1!$58:$58,Sheet1!$59:$59,Sheet1!$61:$61,Sheet1!$62:$62,Sheet1!$63:$63</definedName>
    <definedName name="QB_DATA_20" localSheetId="0" hidden="1">Sheet1!$322:$322,Sheet1!$323:$323,Sheet1!$324:$324,Sheet1!$325:$325,Sheet1!$326:$326,Sheet1!$327:$327,Sheet1!$328:$328,Sheet1!$329:$329,Sheet1!$330:$330,Sheet1!$331:$331,Sheet1!$332:$332,Sheet1!$333:$333,Sheet1!$334:$334,Sheet1!$335:$335,Sheet1!$336:$336,Sheet1!$337:$337</definedName>
    <definedName name="QB_DATA_21" localSheetId="0" hidden="1">Sheet1!$338:$338,Sheet1!$339:$339,Sheet1!$340:$340,Sheet1!$341:$341,Sheet1!$342:$342,Sheet1!$343:$343,Sheet1!$344:$344,Sheet1!$345:$345,Sheet1!$346:$346,Sheet1!$347:$347,Sheet1!$348:$348,Sheet1!$349:$349,Sheet1!$350:$350,Sheet1!#REF!,Sheet1!$351:$351,Sheet1!$352:$352</definedName>
    <definedName name="QB_DATA_22" localSheetId="0" hidden="1">Sheet1!$353:$353,Sheet1!$354:$354,Sheet1!$355:$355,Sheet1!$356:$356,Sheet1!$357:$357,Sheet1!$358:$358,Sheet1!$359:$359,Sheet1!$360:$360,Sheet1!$361:$361,Sheet1!$362:$362,Sheet1!$363:$363,Sheet1!$364:$364,Sheet1!$365:$365,Sheet1!$366:$366,Sheet1!$367:$367,Sheet1!$368:$368</definedName>
    <definedName name="QB_DATA_23" localSheetId="0" hidden="1">Sheet1!#REF!,Sheet1!#REF!,Sheet1!#REF!,Sheet1!$369:$369,Sheet1!$370:$370,Sheet1!$371:$371,Sheet1!$372:$372,Sheet1!$373:$373,Sheet1!$374:$374,Sheet1!#REF!,Sheet1!$375:$375,Sheet1!$376:$376,Sheet1!$377:$377,Sheet1!$378:$378,Sheet1!$379:$379,Sheet1!$380:$380</definedName>
    <definedName name="QB_DATA_24" localSheetId="0" hidden="1">Sheet1!$381:$381,Sheet1!$382:$382,Sheet1!$383:$383,Sheet1!$384:$384,Sheet1!$385:$385,Sheet1!$386:$386,Sheet1!$387:$387,Sheet1!$388:$388,Sheet1!$389:$389,Sheet1!$390:$390,Sheet1!$391:$391,Sheet1!$392:$392,Sheet1!$393:$393,Sheet1!$394:$394,Sheet1!$395:$395,Sheet1!$396:$396</definedName>
    <definedName name="QB_DATA_25" localSheetId="0" hidden="1">Sheet1!$397:$397,Sheet1!$398:$398,Sheet1!$399:$399,Sheet1!$400:$400,Sheet1!$401:$401,Sheet1!$402:$402,Sheet1!$403:$403,Sheet1!$404:$404,Sheet1!$405:$405,Sheet1!$406:$406,Sheet1!$407:$407,Sheet1!$408:$408,Sheet1!$409:$409,Sheet1!$410:$410,Sheet1!$411:$411,Sheet1!$412:$412</definedName>
    <definedName name="QB_DATA_26" localSheetId="0" hidden="1">Sheet1!$413:$413,Sheet1!$414:$414,Sheet1!$415:$415,Sheet1!$416:$416,Sheet1!$417:$417,Sheet1!$418:$418,Sheet1!$419:$419,Sheet1!$420:$420,Sheet1!$421:$421,Sheet1!$422:$422,Sheet1!$423:$423,Sheet1!$424:$424,Sheet1!$425:$425,Sheet1!$426:$426,Sheet1!$427:$427,Sheet1!$428:$428</definedName>
    <definedName name="QB_DATA_27" localSheetId="0" hidden="1">Sheet1!$429:$429,Sheet1!$430:$430,Sheet1!$431:$431,Sheet1!$432:$432,Sheet1!$433:$433,Sheet1!$434:$434,Sheet1!$435:$435,Sheet1!$436:$436,Sheet1!$437:$437,Sheet1!$438:$438,Sheet1!$439:$439,Sheet1!$440:$440,Sheet1!$441:$441,Sheet1!$442:$442,Sheet1!$443:$443,Sheet1!$444:$444</definedName>
    <definedName name="QB_DATA_28" localSheetId="0" hidden="1">Sheet1!$445:$445,Sheet1!$446:$446,Sheet1!$447:$447,Sheet1!$448:$448,Sheet1!$449:$449,Sheet1!$450:$450,Sheet1!$451:$451,Sheet1!$452:$452,Sheet1!$453:$453,Sheet1!$454:$454,Sheet1!$455:$455,Sheet1!$456:$456,Sheet1!$457:$457,Sheet1!$458:$458,Sheet1!$459:$459,Sheet1!$460:$460</definedName>
    <definedName name="QB_DATA_29" localSheetId="0" hidden="1">Sheet1!$461:$461,Sheet1!$462:$462,Sheet1!$463:$463,Sheet1!$464:$464,Sheet1!$465:$465,Sheet1!$466:$466,Sheet1!$467:$467,Sheet1!$468:$468,Sheet1!$469:$469,Sheet1!$470:$470,Sheet1!$471:$471,Sheet1!$472:$472,Sheet1!$473:$473,Sheet1!$474:$474,Sheet1!$475:$475,Sheet1!$476:$476</definedName>
    <definedName name="QB_DATA_3" localSheetId="0" hidden="1">Sheet1!$65:$65,Sheet1!$66:$66,Sheet1!$67:$67,Sheet1!$69:$69,Sheet1!$70:$70,Sheet1!$71:$71,Sheet1!$73:$73,Sheet1!$74:$74,Sheet1!$75:$75,Sheet1!$77:$77,Sheet1!$79:$79,Sheet1!$80:$80,Sheet1!$81:$81,Sheet1!$82:$82,Sheet1!$83:$83,Sheet1!$84:$84</definedName>
    <definedName name="QB_DATA_30" localSheetId="0" hidden="1">Sheet1!$477:$477,Sheet1!$478:$478,Sheet1!$479:$479,Sheet1!$480:$480,Sheet1!$481:$481,Sheet1!$482:$482,Sheet1!$483:$483,Sheet1!$484:$484,Sheet1!$485:$485,Sheet1!$486:$486,Sheet1!$487:$487,Sheet1!$488:$488,Sheet1!$489:$489,Sheet1!$490:$490,Sheet1!$491:$491,Sheet1!$492:$492</definedName>
    <definedName name="QB_DATA_31" localSheetId="0" hidden="1">Sheet1!$493:$493,Sheet1!$494:$494,Sheet1!$495:$495,Sheet1!$496:$496,Sheet1!$497:$497,Sheet1!$498:$498,Sheet1!$499:$499,Sheet1!$500:$500,Sheet1!$501:$501,Sheet1!$502:$502,Sheet1!$503:$503,Sheet1!$504:$504,Sheet1!$505:$505,Sheet1!$506:$506,Sheet1!$507:$507,Sheet1!$508:$508</definedName>
    <definedName name="QB_DATA_32" localSheetId="0" hidden="1">Sheet1!$509:$509,Sheet1!$510:$510,Sheet1!$511:$511,Sheet1!$512:$512,Sheet1!$513:$513,Sheet1!$514:$514,Sheet1!$515:$515,Sheet1!#REF!,Sheet1!$516:$516,Sheet1!$517:$517,Sheet1!$518:$518,Sheet1!$519:$519,Sheet1!$520:$520,Sheet1!$521:$521,Sheet1!$522:$522,Sheet1!$523:$523</definedName>
    <definedName name="QB_DATA_33" localSheetId="0" hidden="1">Sheet1!$524:$524,Sheet1!$525:$525,Sheet1!$526:$526,Sheet1!$527:$527,Sheet1!$528:$528,Sheet1!$529:$529,Sheet1!$530:$530,Sheet1!$531:$531,Sheet1!$532:$532,Sheet1!$533:$533,Sheet1!$534:$534,Sheet1!$535:$535,Sheet1!$536:$536,Sheet1!$537:$537,Sheet1!$538:$538,Sheet1!$539:$539</definedName>
    <definedName name="QB_DATA_34" localSheetId="0" hidden="1">Sheet1!$540:$540,Sheet1!$541:$541,Sheet1!$542:$542,Sheet1!$543:$543,Sheet1!$544:$544,Sheet1!$545:$545,Sheet1!$546:$546,Sheet1!$547:$547,Sheet1!$548:$548,Sheet1!$549:$549,Sheet1!$550:$550,Sheet1!$551:$551,Sheet1!$552:$552,Sheet1!$553:$553,Sheet1!$554:$554,Sheet1!$555:$555</definedName>
    <definedName name="QB_DATA_35" localSheetId="0" hidden="1">Sheet1!$556:$556,Sheet1!$557:$557,Sheet1!$558:$558,Sheet1!$559:$559,Sheet1!$560:$560,Sheet1!$561:$561,Sheet1!$562:$562,Sheet1!$563:$563,Sheet1!$564:$564,Sheet1!$565:$565,Sheet1!$566:$566,Sheet1!$567:$567,Sheet1!$568:$568,Sheet1!$569:$569,Sheet1!$570:$570,Sheet1!#REF!</definedName>
    <definedName name="QB_DATA_36" localSheetId="0" hidden="1">Sheet1!#REF!,Sheet1!$571:$571,Sheet1!$572:$572,Sheet1!$573:$573,Sheet1!$574:$574,Sheet1!#REF!,Sheet1!$575:$575,Sheet1!$576:$576,Sheet1!$577:$577,Sheet1!$578:$578,Sheet1!$579:$579,Sheet1!$580:$580,Sheet1!$581:$581,Sheet1!$582:$582,Sheet1!$583:$583,Sheet1!$584:$584</definedName>
    <definedName name="QB_DATA_37" localSheetId="0" hidden="1">Sheet1!$585:$585,Sheet1!$586:$586,Sheet1!$587:$587,Sheet1!$588:$588,Sheet1!$589:$589,Sheet1!$590:$590,Sheet1!$591:$591,Sheet1!$592:$592,Sheet1!#REF!,Sheet1!#REF!,Sheet1!$593:$593,Sheet1!$594:$594,Sheet1!$595:$595,Sheet1!$596:$596,Sheet1!$597:$597,Sheet1!$598:$598</definedName>
    <definedName name="QB_DATA_38" localSheetId="0" hidden="1">Sheet1!$599:$599,Sheet1!$600:$600,Sheet1!$601:$601,Sheet1!$602:$602,Sheet1!$603:$603,Sheet1!$604:$604,Sheet1!$605:$605,Sheet1!$606:$606,Sheet1!$607:$607,Sheet1!$608:$608,Sheet1!$609:$609,Sheet1!$610:$610,Sheet1!$611:$611,Sheet1!$612:$612,Sheet1!$613:$613,Sheet1!$614:$614</definedName>
    <definedName name="QB_DATA_39" localSheetId="0" hidden="1">Sheet1!$615:$615,Sheet1!$616:$616,Sheet1!$617:$617,Sheet1!$618:$618,Sheet1!$619:$619,Sheet1!$620:$620,Sheet1!$621:$621,Sheet1!$622:$622,Sheet1!$623:$623,Sheet1!#REF!,Sheet1!$624:$624,Sheet1!$625:$625,Sheet1!$626:$626,Sheet1!$627:$627,Sheet1!$628:$628,Sheet1!$629:$629</definedName>
    <definedName name="QB_DATA_4" localSheetId="0" hidden="1">Sheet1!$85:$85,Sheet1!$86:$86,Sheet1!$87:$87,Sheet1!$88:$88,Sheet1!$90:$90,Sheet1!$91:$91,Sheet1!$92:$92,Sheet1!$93:$93,Sheet1!$95:$95,Sheet1!$97:$97,Sheet1!$98:$98,Sheet1!$99:$99,Sheet1!$100:$100,Sheet1!$101:$101,Sheet1!$102:$102,Sheet1!$103:$103</definedName>
    <definedName name="QB_DATA_40" localSheetId="0" hidden="1">Sheet1!$630:$630,Sheet1!$631:$631,Sheet1!#REF!,Sheet1!#REF!,Sheet1!#REF!,Sheet1!#REF!,Sheet1!#REF!,Sheet1!$632:$632,Sheet1!$633:$633,Sheet1!$634:$634,Sheet1!$635:$635,Sheet1!$636:$636,Sheet1!$637:$637,Sheet1!$638:$638,Sheet1!$639:$639,Sheet1!$640:$640</definedName>
    <definedName name="QB_DATA_41" localSheetId="0" hidden="1">Sheet1!$641:$641,Sheet1!$642:$642,Sheet1!$643:$643,Sheet1!$644:$644,Sheet1!$645:$645,Sheet1!$646:$646,Sheet1!$647:$647,Sheet1!$648:$648,Sheet1!$649:$649,Sheet1!$650:$650,Sheet1!$651:$651,Sheet1!$652:$652,Sheet1!$653:$653,Sheet1!#REF!,Sheet1!$654:$654,Sheet1!$655:$655</definedName>
    <definedName name="QB_DATA_42" localSheetId="0" hidden="1">Sheet1!$656:$656,Sheet1!$657:$657,Sheet1!$658:$658,Sheet1!$659:$659,Sheet1!$660:$660,Sheet1!$661:$661,Sheet1!$662:$662,Sheet1!$663:$663,Sheet1!$664:$664,Sheet1!$665:$665,Sheet1!$666:$666,Sheet1!$667:$667,Sheet1!$668:$668,Sheet1!$669:$669,Sheet1!$670:$670,Sheet1!$671:$671</definedName>
    <definedName name="QB_DATA_43" localSheetId="0" hidden="1">Sheet1!$672:$672,Sheet1!$673:$673,Sheet1!$674:$674,Sheet1!$675:$675,Sheet1!$676:$676,Sheet1!$677:$677,Sheet1!$678:$678,Sheet1!$679:$679,Sheet1!$680:$680,Sheet1!$681:$681,Sheet1!$682:$682,Sheet1!$683:$683,Sheet1!$684:$684,Sheet1!$685:$685,Sheet1!$686:$686,Sheet1!$687:$687</definedName>
    <definedName name="QB_DATA_44" localSheetId="0" hidden="1">Sheet1!$688:$688,Sheet1!$689:$689,Sheet1!$690:$690,Sheet1!$691:$691,Sheet1!$692:$692,Sheet1!$693:$693,Sheet1!$694:$694,Sheet1!$695:$695,Sheet1!$696:$696,Sheet1!$697:$697,Sheet1!$698:$698,Sheet1!$699:$699,Sheet1!$700:$700,Sheet1!$701:$701,Sheet1!$702:$702,Sheet1!$703:$703</definedName>
    <definedName name="QB_DATA_45" localSheetId="0" hidden="1">Sheet1!$704:$704,Sheet1!$705:$705,Sheet1!$706:$706,Sheet1!$707:$707,Sheet1!$708:$708,Sheet1!$709:$709,Sheet1!$710:$710,Sheet1!$711:$711,Sheet1!$712:$712,Sheet1!$713:$713,Sheet1!$714:$714,Sheet1!$715:$715,Sheet1!$716:$716,Sheet1!$717:$717,Sheet1!$718:$718,Sheet1!$719:$719</definedName>
    <definedName name="QB_DATA_46" localSheetId="0" hidden="1">Sheet1!$720:$720,Sheet1!$721:$721,Sheet1!$722:$722,Sheet1!$723:$723,Sheet1!$724:$724,Sheet1!$725:$725,Sheet1!$726:$726,Sheet1!$727:$727,Sheet1!$728:$728,Sheet1!$729:$729,Sheet1!$730:$730,Sheet1!$731:$731,Sheet1!$732:$732,Sheet1!$733:$733,Sheet1!$734:$734,Sheet1!$735:$735</definedName>
    <definedName name="QB_DATA_47" localSheetId="0" hidden="1">Sheet1!$736:$736,Sheet1!$737:$737,Sheet1!$738:$738,Sheet1!$739:$739,Sheet1!$740:$740,Sheet1!$741:$741,Sheet1!$742:$742,Sheet1!$743:$743,Sheet1!#REF!,Sheet1!$744:$744,Sheet1!$745:$745,Sheet1!$746:$746,Sheet1!$747:$747,Sheet1!$748:$748,Sheet1!$749:$749,Sheet1!$750:$750</definedName>
    <definedName name="QB_DATA_48" localSheetId="0" hidden="1">Sheet1!$751:$751,Sheet1!$752:$752,Sheet1!$753:$753,Sheet1!$754:$754,Sheet1!$755:$755,Sheet1!$756:$756,Sheet1!$757:$757,Sheet1!$758:$758,Sheet1!$759:$759,Sheet1!$760:$760,Sheet1!$761:$761,Sheet1!$762:$762,Sheet1!$763:$763,Sheet1!$764:$764,Sheet1!$765:$765,Sheet1!$766:$766</definedName>
    <definedName name="QB_DATA_49" localSheetId="0" hidden="1">Sheet1!$767:$767,Sheet1!$768:$768,Sheet1!$769:$769,Sheet1!$770:$770,Sheet1!$771:$771,Sheet1!$772:$772,Sheet1!$773:$773,Sheet1!$774:$774,Sheet1!$775:$775,Sheet1!$776:$776,Sheet1!$777:$777,Sheet1!$778:$778,Sheet1!$779:$779,Sheet1!$780:$780,Sheet1!$781:$781,Sheet1!$782:$782</definedName>
    <definedName name="QB_DATA_5" localSheetId="0" hidden="1">Sheet1!$105:$105,Sheet1!$107:$107,Sheet1!$108:$108,Sheet1!$109:$109,Sheet1!$110:$110,Sheet1!$111:$111,Sheet1!$112:$112,Sheet1!$113:$113,Sheet1!$114:$114,Sheet1!$115:$115,Sheet1!$116:$116,Sheet1!$117:$117,Sheet1!$118:$118,Sheet1!$119:$119,Sheet1!$120:$120,Sheet1!$121:$121</definedName>
    <definedName name="QB_DATA_50" localSheetId="0" hidden="1">Sheet1!$783:$783,Sheet1!$784:$784,Sheet1!$785:$785,Sheet1!$786:$786,Sheet1!$787:$787,Sheet1!$788:$788,Sheet1!$789:$789,Sheet1!$790:$790,Sheet1!$791:$791,Sheet1!$792:$792,Sheet1!$793:$793,Sheet1!$794:$794,Sheet1!$795:$795,Sheet1!$796:$796,Sheet1!$797:$797,Sheet1!$798:$798</definedName>
    <definedName name="QB_DATA_51" localSheetId="0" hidden="1">Sheet1!$799:$799,Sheet1!$800:$800,Sheet1!$801:$801,Sheet1!$802:$802,Sheet1!$803:$803,Sheet1!$804:$804,Sheet1!$805:$805,Sheet1!$806:$806,Sheet1!$807:$807,Sheet1!$808:$808,Sheet1!$809:$809,Sheet1!$810:$810,Sheet1!$811:$811,Sheet1!$812:$812,Sheet1!$813:$813,Sheet1!$814:$814</definedName>
    <definedName name="QB_DATA_52" localSheetId="0" hidden="1">Sheet1!$815:$815,Sheet1!$816:$816,Sheet1!$817:$817,Sheet1!$818:$818,Sheet1!$819:$819,Sheet1!$820:$820,Sheet1!$821:$821,Sheet1!$822:$822,Sheet1!$823:$823,Sheet1!$824:$824,Sheet1!$825:$825,Sheet1!$826:$826,Sheet1!$827:$827,Sheet1!$828:$828,Sheet1!#REF!,Sheet1!$829:$829</definedName>
    <definedName name="QB_DATA_53" localSheetId="0" hidden="1">Sheet1!#REF!,Sheet1!$830:$830,Sheet1!$831:$831,Sheet1!$832:$832,Sheet1!$833:$833,Sheet1!#REF!,Sheet1!$834:$834,Sheet1!$835:$835,Sheet1!$836:$836,Sheet1!$837:$837,Sheet1!$838:$838,Sheet1!$839:$839,Sheet1!$840:$840,Sheet1!$841:$841,Sheet1!$842:$842,Sheet1!$843:$843</definedName>
    <definedName name="QB_DATA_54" localSheetId="0" hidden="1">Sheet1!$844:$844,Sheet1!$845:$845,Sheet1!$846:$846,Sheet1!$847:$847,Sheet1!$848:$848,Sheet1!$849:$849,Sheet1!$850:$850,Sheet1!$851:$851,Sheet1!$852:$852,Sheet1!$853:$853,Sheet1!$854:$854,Sheet1!$855:$855,Sheet1!$856:$856,Sheet1!$857:$857,Sheet1!$858:$858,Sheet1!$859:$859</definedName>
    <definedName name="QB_DATA_55" localSheetId="0" hidden="1">Sheet1!$860:$860,Sheet1!$861:$861,Sheet1!$862:$862,Sheet1!$863:$863,Sheet1!$864:$864,Sheet1!$865:$865,Sheet1!$866:$866,Sheet1!$867:$867,Sheet1!$868:$868,Sheet1!$869:$869,Sheet1!$870:$870,Sheet1!$871:$871,Sheet1!$872:$872,Sheet1!$873:$873,Sheet1!$874:$874,Sheet1!$875:$875</definedName>
    <definedName name="QB_DATA_56" localSheetId="0" hidden="1">Sheet1!$876:$876,Sheet1!$877:$877,Sheet1!$878:$878,Sheet1!$879:$879,Sheet1!$880:$880,Sheet1!$881:$881,Sheet1!$882:$882,Sheet1!$883:$883,Sheet1!$884:$884,Sheet1!$885:$885,Sheet1!$886:$886,Sheet1!$887:$887,Sheet1!$888:$888,Sheet1!$889:$889,Sheet1!$891:$891,Sheet1!$892:$892</definedName>
    <definedName name="QB_DATA_57" localSheetId="0" hidden="1">Sheet1!$893:$893,Sheet1!$894:$894,Sheet1!$895:$895,Sheet1!$896:$896,Sheet1!$897:$897,Sheet1!$898:$898,Sheet1!$899:$899,Sheet1!$900:$900,Sheet1!$901:$901,Sheet1!$902:$902,Sheet1!$903:$903,Sheet1!$904:$904,Sheet1!$905:$905,Sheet1!$906:$906,Sheet1!$907:$907,Sheet1!$908:$908</definedName>
    <definedName name="QB_DATA_58" localSheetId="0" hidden="1">Sheet1!$909:$909,Sheet1!$910:$910,Sheet1!$911:$911,Sheet1!$912:$912,Sheet1!$913:$913,Sheet1!$914:$914,Sheet1!$915:$915,Sheet1!$916:$916,Sheet1!$917:$917,Sheet1!$918:$918,Sheet1!$919:$919,Sheet1!$920:$920,Sheet1!$921:$921,Sheet1!$922:$922,Sheet1!$923:$923,Sheet1!$924:$924</definedName>
    <definedName name="QB_DATA_59" localSheetId="0" hidden="1">Sheet1!$925:$925,Sheet1!$926:$926,Sheet1!$927:$927,Sheet1!$928:$928,Sheet1!#REF!,Sheet1!#REF!,Sheet1!#REF!,Sheet1!$929:$929,Sheet1!$930:$930,Sheet1!$931:$931,Sheet1!$932:$932,Sheet1!$933:$933,Sheet1!$934:$934,Sheet1!$935:$935,Sheet1!$936:$936,Sheet1!$937:$937</definedName>
    <definedName name="QB_DATA_6" localSheetId="0" hidden="1">Sheet1!$122:$122,Sheet1!$123:$123,Sheet1!$124:$124,Sheet1!$125:$125,Sheet1!$126:$126,Sheet1!$127:$127,Sheet1!$128:$128,Sheet1!$129:$129,Sheet1!$130:$130,Sheet1!$131:$131,Sheet1!$132:$132,Sheet1!$133:$133,Sheet1!$134:$134,Sheet1!$135:$135,Sheet1!#REF!,Sheet1!#REF!</definedName>
    <definedName name="QB_DATA_60" localSheetId="0" hidden="1">Sheet1!$938:$938,Sheet1!$939:$939,Sheet1!$940:$940,Sheet1!$941:$941,Sheet1!$942:$942,Sheet1!$943:$943,Sheet1!$944:$944,Sheet1!$945:$945,Sheet1!$946:$946,Sheet1!$947:$947,Sheet1!$948:$948,Sheet1!$949:$949,Sheet1!$950:$950,Sheet1!#REF!,Sheet1!$951:$951,Sheet1!$952:$952</definedName>
    <definedName name="QB_DATA_61" localSheetId="0" hidden="1">Sheet1!$953:$953,Sheet1!$954:$954,Sheet1!$955:$955,Sheet1!$956:$956,Sheet1!$957:$957,Sheet1!$958:$958,Sheet1!$959:$959,Sheet1!$960:$960,Sheet1!$961:$961,Sheet1!$962:$962,Sheet1!$963:$963,Sheet1!$964:$964,Sheet1!$965:$965,Sheet1!$966:$966,Sheet1!$967:$967,Sheet1!$968:$968</definedName>
    <definedName name="QB_DATA_62" localSheetId="0" hidden="1">Sheet1!$969:$969,Sheet1!#REF!,Sheet1!#REF!,Sheet1!$970:$970,Sheet1!$971:$971,Sheet1!$972:$972,Sheet1!$973:$973,Sheet1!$974:$974,Sheet1!$975:$975,Sheet1!$976:$976,Sheet1!$977:$977,Sheet1!$978:$978,Sheet1!#REF!,Sheet1!$979:$979,Sheet1!$980:$980,Sheet1!$981:$981</definedName>
    <definedName name="QB_DATA_63" localSheetId="0" hidden="1">Sheet1!$982:$982,Sheet1!$983:$983,Sheet1!$984:$984,Sheet1!$985:$985,Sheet1!$986:$986,Sheet1!$987:$987,Sheet1!#REF!,Sheet1!$988:$988,Sheet1!$989:$989,Sheet1!$990:$990,Sheet1!$991:$991,Sheet1!$992:$992,Sheet1!$993:$993,Sheet1!$994:$994,Sheet1!$995:$995,Sheet1!$996:$996</definedName>
    <definedName name="QB_DATA_64" localSheetId="0" hidden="1">Sheet1!$997:$997,Sheet1!$998:$998,Sheet1!$999:$999,Sheet1!$1000:$1000,Sheet1!$1001:$1001,Sheet1!$1002:$1002,Sheet1!$1003:$1003,Sheet1!$1004:$1004,Sheet1!$1005:$1005,Sheet1!$1006:$1006,Sheet1!$1007:$1007,Sheet1!$1008:$1008,Sheet1!$1009:$1009,Sheet1!$1010:$1010,Sheet1!$1011:$1011,Sheet1!$1012:$1012</definedName>
    <definedName name="QB_DATA_65" localSheetId="0" hidden="1">Sheet1!$1013:$1013,Sheet1!$1014:$1014,Sheet1!$1015:$1015,Sheet1!$1016:$1016,Sheet1!$1017:$1017,Sheet1!$1018:$1018,Sheet1!$1019:$1019,Sheet1!$1020:$1020,Sheet1!$1021:$1021,Sheet1!$1022:$1022,Sheet1!$1023:$1023,Sheet1!$1024:$1024,Sheet1!$1025:$1025,Sheet1!$1026:$1026,Sheet1!#REF!,Sheet1!$1027:$1027</definedName>
    <definedName name="QB_DATA_66" localSheetId="0" hidden="1">Sheet1!$1028:$1028,Sheet1!$1029:$1029,Sheet1!$1030:$1030,Sheet1!$1031:$1031,Sheet1!$1032:$1032,Sheet1!$1033:$1033,Sheet1!$1034:$1034,Sheet1!$1035:$1035,Sheet1!$1036:$1036,Sheet1!$1037:$1037,Sheet1!$1038:$1038,Sheet1!$1039:$1039,Sheet1!$1040:$1040,Sheet1!$1041:$1041,Sheet1!$1042:$1042,Sheet1!$1043:$1043</definedName>
    <definedName name="QB_DATA_67" localSheetId="0" hidden="1">Sheet1!$1044:$1044,Sheet1!$1045:$1045,Sheet1!$1046:$1046,Sheet1!$1047:$1047,Sheet1!$1048:$1048,Sheet1!$1049:$1049,Sheet1!$1050:$1050,Sheet1!$1051:$1051,Sheet1!$1052:$1052,Sheet1!$1053:$1053,Sheet1!$1054:$1054,Sheet1!$1055:$1055,Sheet1!$1056:$1056,Sheet1!$1057:$1057,Sheet1!$1058:$1058,Sheet1!$1059:$1059</definedName>
    <definedName name="QB_DATA_68" localSheetId="0" hidden="1">Sheet1!$1060:$1060,Sheet1!$1061:$1061,Sheet1!$1062:$1062,Sheet1!$1063:$1063,Sheet1!$1064:$1064,Sheet1!$1065:$1065,Sheet1!$1066:$1066</definedName>
    <definedName name="QB_DATA_7" localSheetId="0" hidden="1">Sheet1!#REF!,Sheet1!#REF!,Sheet1!#REF!,Sheet1!#REF!,Sheet1!$136:$136,Sheet1!$137:$137,Sheet1!$138:$138,Sheet1!$139:$139,Sheet1!$140:$140,Sheet1!$141:$141,Sheet1!$142:$142,Sheet1!$143:$143,Sheet1!$144:$144,Sheet1!$145:$145,Sheet1!$146:$146,Sheet1!$147:$147</definedName>
    <definedName name="QB_DATA_8" localSheetId="0" hidden="1">Sheet1!$148:$148,Sheet1!$149:$149,Sheet1!$150:$150,Sheet1!$151:$151,Sheet1!$152:$152,Sheet1!$153:$153,Sheet1!$154:$154,Sheet1!$155:$155,Sheet1!$156:$156,Sheet1!$157:$157,Sheet1!$158:$158,Sheet1!$159:$159,Sheet1!$160:$160,Sheet1!$161:$161,Sheet1!$162:$162,Sheet1!$163:$163</definedName>
    <definedName name="QB_DATA_9" localSheetId="0" hidden="1">Sheet1!$164:$164,Sheet1!$165:$165,Sheet1!$166:$166,Sheet1!$167:$167,Sheet1!$168:$168,Sheet1!$169:$169,Sheet1!$170:$170,Sheet1!$171:$171,Sheet1!$172:$172,Sheet1!$173:$173,Sheet1!$174:$174,Sheet1!$175:$175,Sheet1!$176:$176,Sheet1!$177:$177,Sheet1!$178:$178,Sheet1!$179:$179</definedName>
    <definedName name="QB_FORMULA_0" localSheetId="0" hidden="1">Sheet1!#REF!,Sheet1!#REF!,Sheet1!$F$5,Sheet1!$E$6,Sheet1!$F$6,Sheet1!$F$8,Sheet1!#REF!,Sheet1!#REF!,Sheet1!$F$10,Sheet1!$F$11,Sheet1!#REF!,Sheet1!#REF!,Sheet1!#REF!,Sheet1!$F$14,Sheet1!$F$15,Sheet1!$F$16</definedName>
    <definedName name="QB_FORMULA_1" localSheetId="0" hidden="1">Sheet1!#REF!,Sheet1!#REF!,Sheet1!$F$18,Sheet1!$F$20,Sheet1!$F$22,Sheet1!$E$23,Sheet1!$F$23,Sheet1!$F$25,Sheet1!$F$26,Sheet1!$E$27,Sheet1!$F$27,Sheet1!$F$29,Sheet1!$F$31,Sheet1!$E$32,Sheet1!$F$32,Sheet1!$F$34</definedName>
    <definedName name="QB_FORMULA_10" localSheetId="0" hidden="1">Sheet1!$F$148,Sheet1!#REF!,Sheet1!#REF!,Sheet1!$F$150,Sheet1!#REF!,Sheet1!#REF!,Sheet1!#REF!,Sheet1!$F$153,Sheet1!#REF!,Sheet1!#REF!,Sheet1!$F$155,Sheet1!#REF!,Sheet1!#REF!,Sheet1!$F$157,Sheet1!$F$158,Sheet1!#REF!</definedName>
    <definedName name="QB_FORMULA_11" localSheetId="0" hidden="1">Sheet1!#REF!,Sheet1!#REF!,Sheet1!$F$161,Sheet1!$F$162,Sheet1!$F$163,Sheet1!$F$164,Sheet1!$F$165,Sheet1!#REF!,Sheet1!#REF!,Sheet1!$F$167,Sheet1!$F$168,Sheet1!#REF!,Sheet1!#REF!,Sheet1!#REF!,Sheet1!#REF!,Sheet1!$F$172</definedName>
    <definedName name="QB_FORMULA_12" localSheetId="0" hidden="1">Sheet1!#REF!,Sheet1!#REF!,Sheet1!$F$174,Sheet1!$F$175,Sheet1!#REF!,Sheet1!#REF!,Sheet1!$F$177,Sheet1!$F$178,Sheet1!#REF!,Sheet1!#REF!,Sheet1!$F$180,Sheet1!$F$181,Sheet1!$F$182,Sheet1!#REF!,Sheet1!#REF!,Sheet1!#REF!</definedName>
    <definedName name="QB_FORMULA_13" localSheetId="0" hidden="1">Sheet1!#REF!,Sheet1!#REF!,Sheet1!#REF!,Sheet1!#REF!,Sheet1!#REF!,Sheet1!$F$184,Sheet1!#REF!,Sheet1!#REF!,Sheet1!$F$186,Sheet1!$F$187,Sheet1!$F$188,Sheet1!$F$189,Sheet1!#REF!,Sheet1!#REF!,Sheet1!$F$191,Sheet1!$F$192</definedName>
    <definedName name="QB_FORMULA_14" localSheetId="0" hidden="1">Sheet1!$F$193,Sheet1!$F$194,Sheet1!#REF!,Sheet1!#REF!,Sheet1!$F$196,Sheet1!$F$197,Sheet1!#REF!,Sheet1!#REF!,Sheet1!#REF!,Sheet1!#REF!,Sheet1!#REF!,Sheet1!#REF!,Sheet1!#REF!,Sheet1!#REF!,Sheet1!#REF!,Sheet1!$F$200</definedName>
    <definedName name="QB_FORMULA_15" localSheetId="0" hidden="1">Sheet1!$F$201,Sheet1!$F$202,Sheet1!#REF!,Sheet1!#REF!,Sheet1!$F$204,Sheet1!#REF!,Sheet1!#REF!,Sheet1!$F$206,Sheet1!#REF!,Sheet1!#REF!,Sheet1!$F$208,Sheet1!$F$209,Sheet1!$F$210,Sheet1!#REF!,Sheet1!#REF!,Sheet1!#REF!</definedName>
    <definedName name="QB_FORMULA_16" localSheetId="0" hidden="1">Sheet1!#REF!,Sheet1!$F$214,Sheet1!#REF!,Sheet1!#REF!,Sheet1!#REF!,Sheet1!#REF!,Sheet1!#REF!,Sheet1!#REF!,Sheet1!#REF!,Sheet1!#REF!,Sheet1!$F$218,Sheet1!#REF!,Sheet1!#REF!,Sheet1!#REF!,Sheet1!$F$221,Sheet1!$F$222</definedName>
    <definedName name="QB_FORMULA_17" localSheetId="0" hidden="1">Sheet1!$F$223,Sheet1!#REF!,Sheet1!#REF!,Sheet1!$F$225,Sheet1!$F$226,Sheet1!#REF!,Sheet1!#REF!,Sheet1!$F$228,Sheet1!#REF!,Sheet1!#REF!,Sheet1!#REF!,Sheet1!#REF!,Sheet1!#REF!,Sheet1!#REF!,Sheet1!$F$233,Sheet1!#REF!</definedName>
    <definedName name="QB_FORMULA_18" localSheetId="0" hidden="1">Sheet1!#REF!,Sheet1!$F$235,Sheet1!#REF!,Sheet1!#REF!,Sheet1!#REF!,Sheet1!#REF!,Sheet1!#REF!,Sheet1!#REF!,Sheet1!$F$241,Sheet1!$F$242,Sheet1!$F$243,Sheet1!$F$244,Sheet1!$F$245,Sheet1!#REF!,Sheet1!#REF!,Sheet1!$F$247</definedName>
    <definedName name="QB_FORMULA_19" localSheetId="0" hidden="1">Sheet1!#REF!,Sheet1!#REF!,Sheet1!#REF!,Sheet1!#REF!,Sheet1!$F$251,Sheet1!$F$252,Sheet1!$F$253,Sheet1!$F$254,Sheet1!#REF!,Sheet1!#REF!,Sheet1!#REF!,Sheet1!#REF!,Sheet1!#REF!,Sheet1!#REF!,Sheet1!#REF!,Sheet1!$F$261</definedName>
    <definedName name="QB_FORMULA_2" localSheetId="0" hidden="1">Sheet1!$F$35,Sheet1!$E$36,Sheet1!$F$36,Sheet1!$F$38,Sheet1!$F$39,Sheet1!$E$40,Sheet1!$F$40,Sheet1!$F$42,Sheet1!$F$43,Sheet1!$E$44,Sheet1!$F$44,Sheet1!$F$46,Sheet1!$F$47,Sheet1!$E$48,Sheet1!$F$48,Sheet1!$F$50</definedName>
    <definedName name="QB_FORMULA_20" localSheetId="0" hidden="1">Sheet1!$F$262,Sheet1!$F$263,Sheet1!$F$264,Sheet1!#REF!,Sheet1!#REF!,Sheet1!#REF!,Sheet1!$F$267,Sheet1!$F$268,Sheet1!#REF!,Sheet1!#REF!,Sheet1!$F$270,Sheet1!#REF!,Sheet1!#REF!,Sheet1!#REF!,Sheet1!$F$273,Sheet1!#REF!</definedName>
    <definedName name="QB_FORMULA_21" localSheetId="0" hidden="1">Sheet1!#REF!,Sheet1!$F$275,Sheet1!#REF!,Sheet1!#REF!,Sheet1!$F$277,Sheet1!#REF!,Sheet1!#REF!,Sheet1!$F$279,Sheet1!#REF!,Sheet1!#REF!,Sheet1!#REF!,Sheet1!#REF!,Sheet1!#REF!,Sheet1!#REF!,Sheet1!#REF!,Sheet1!$F$283</definedName>
    <definedName name="QB_FORMULA_22" localSheetId="0" hidden="1">Sheet1!#REF!,Sheet1!#REF!,Sheet1!#REF!,Sheet1!#REF!,Sheet1!#REF!,Sheet1!$F$287,Sheet1!$F$288,Sheet1!$F$289,Sheet1!#REF!,Sheet1!#REF!,Sheet1!#REF!,Sheet1!$F$292,Sheet1!#REF!,Sheet1!#REF!,Sheet1!$F$294,Sheet1!$F$295</definedName>
    <definedName name="QB_FORMULA_23" localSheetId="0" hidden="1">Sheet1!$F$296,Sheet1!$F$297,Sheet1!$F$298,Sheet1!#REF!,Sheet1!#REF!,Sheet1!#REF!,Sheet1!#REF!,Sheet1!#REF!,Sheet1!#REF!,Sheet1!$F$303,Sheet1!$F$304,Sheet1!#REF!,Sheet1!#REF!,Sheet1!$F$306,Sheet1!$F$307,Sheet1!#REF!</definedName>
    <definedName name="QB_FORMULA_24" localSheetId="0" hidden="1">Sheet1!#REF!,Sheet1!$F$309,Sheet1!$F$310,Sheet1!#REF!,Sheet1!#REF!,Sheet1!$F$312,Sheet1!#REF!,Sheet1!#REF!,Sheet1!#REF!,Sheet1!#REF!,Sheet1!$F$315,Sheet1!#REF!,Sheet1!#REF!,Sheet1!#REF!,Sheet1!#REF!,Sheet1!#REF!</definedName>
    <definedName name="QB_FORMULA_25" localSheetId="0" hidden="1">Sheet1!#REF!,Sheet1!#REF!,Sheet1!#REF!,Sheet1!$F$323,Sheet1!$F$324,Sheet1!$F$325,Sheet1!$F$326,Sheet1!#REF!,Sheet1!#REF!,Sheet1!#REF!,Sheet1!#REF!,Sheet1!$F$330,Sheet1!#REF!,Sheet1!#REF!,Sheet1!$F$332,Sheet1!$F$333</definedName>
    <definedName name="QB_FORMULA_26" localSheetId="0" hidden="1">Sheet1!#REF!,Sheet1!#REF!,Sheet1!$F$335,Sheet1!$F$336,Sheet1!$F$337,Sheet1!#REF!,Sheet1!#REF!,Sheet1!#REF!,Sheet1!$F$340,Sheet1!#REF!,Sheet1!#REF!,Sheet1!$F$342,Sheet1!$F$343,Sheet1!$F$344,Sheet1!#REF!,Sheet1!#REF!</definedName>
    <definedName name="QB_FORMULA_27" localSheetId="0" hidden="1">Sheet1!#REF!,Sheet1!#REF!,Sheet1!$F$348,Sheet1!#REF!,Sheet1!#REF!,Sheet1!$F$350,Sheet1!#REF!,Sheet1!#REF!,Sheet1!#REF!,Sheet1!$F$352,Sheet1!#REF!,Sheet1!#REF!,Sheet1!$F$354,Sheet1!#REF!,Sheet1!#REF!,Sheet1!$F$356</definedName>
    <definedName name="QB_FORMULA_28" localSheetId="0" hidden="1">Sheet1!$F$357,Sheet1!#REF!,Sheet1!#REF!,Sheet1!#REF!,Sheet1!#REF!,Sheet1!#REF!,Sheet1!#REF!,Sheet1!$F$363,Sheet1!$F$364,Sheet1!$F$365,Sheet1!#REF!,Sheet1!#REF!,Sheet1!$F$367,Sheet1!$F$368,Sheet1!#REF!,Sheet1!#REF!</definedName>
    <definedName name="QB_FORMULA_29" localSheetId="0" hidden="1">Sheet1!#REF!,Sheet1!#REF!,Sheet1!#REF!,Sheet1!#REF!,Sheet1!#REF!,Sheet1!$F$371,Sheet1!$F$372,Sheet1!$F$373,Sheet1!$F$374,Sheet1!#REF!,Sheet1!#REF!,Sheet1!#REF!,Sheet1!#REF!,Sheet1!#REF!,Sheet1!#REF!,Sheet1!$F$379</definedName>
    <definedName name="QB_FORMULA_3" localSheetId="0" hidden="1">Sheet1!$F$51,Sheet1!$E$52,Sheet1!$F$52,Sheet1!$F$54,Sheet1!$F$55,Sheet1!$E$56,Sheet1!$F$56,Sheet1!$F$58,Sheet1!$F$59,Sheet1!$E$60,Sheet1!$F$60,Sheet1!$F$62,Sheet1!$F$63,Sheet1!$E$64,Sheet1!$F$64,Sheet1!$F$66</definedName>
    <definedName name="QB_FORMULA_30" localSheetId="0" hidden="1">Sheet1!$F$380,Sheet1!$F$381,Sheet1!$F$382,Sheet1!#REF!,Sheet1!#REF!,Sheet1!#REF!,Sheet1!#REF!,Sheet1!#REF!,Sheet1!$F$387,Sheet1!$F$388,Sheet1!$F$389,Sheet1!$F$390,Sheet1!#REF!,Sheet1!#REF!,Sheet1!$F$392,Sheet1!$F$393</definedName>
    <definedName name="QB_FORMULA_31" localSheetId="0" hidden="1">Sheet1!#REF!,Sheet1!#REF!,Sheet1!$F$395,Sheet1!$F$396,Sheet1!#REF!,Sheet1!#REF!,Sheet1!#REF!,Sheet1!$F$399,Sheet1!$F$400,Sheet1!$F$401,Sheet1!$F$402,Sheet1!#REF!,Sheet1!#REF!,Sheet1!#REF!,Sheet1!$F$405,Sheet1!$F$406</definedName>
    <definedName name="QB_FORMULA_32" localSheetId="0" hidden="1">Sheet1!#REF!,Sheet1!#REF!,Sheet1!#REF!,Sheet1!#REF!,Sheet1!#REF!,Sheet1!$F$411,Sheet1!$F$412,Sheet1!#REF!,Sheet1!#REF!,Sheet1!$F$414,Sheet1!$F$415,Sheet1!#REF!,Sheet1!#REF!,Sheet1!#REF!,Sheet1!#REF!,Sheet1!#REF!</definedName>
    <definedName name="QB_FORMULA_33" localSheetId="0" hidden="1">Sheet1!$F$420,Sheet1!$F$421,Sheet1!#REF!,Sheet1!#REF!,Sheet1!$F$423,Sheet1!#REF!,Sheet1!#REF!,Sheet1!$F$425,Sheet1!#REF!,Sheet1!#REF!,Sheet1!#REF!,Sheet1!$F$428,Sheet1!#REF!,Sheet1!#REF!,Sheet1!#REF!,Sheet1!$F$431</definedName>
    <definedName name="QB_FORMULA_34" localSheetId="0" hidden="1">Sheet1!$F$432,Sheet1!$F$433,Sheet1!#REF!,Sheet1!#REF!,Sheet1!#REF!,Sheet1!#REF!,Sheet1!$F$437,Sheet1!$F$438,Sheet1!$F$439,Sheet1!$F$440,Sheet1!$F$441,Sheet1!#REF!,Sheet1!#REF!,Sheet1!$F$443,Sheet1!#REF!,Sheet1!#REF!</definedName>
    <definedName name="QB_FORMULA_35" localSheetId="0" hidden="1">Sheet1!$F$445,Sheet1!$F$446,Sheet1!$F$447,Sheet1!$F$448,Sheet1!#REF!,Sheet1!#REF!,Sheet1!$F$450,Sheet1!#REF!,Sheet1!#REF!,Sheet1!$F$452,Sheet1!$F$453,Sheet1!#REF!,Sheet1!#REF!,Sheet1!$F$455,Sheet1!$F$456,Sheet1!#REF!</definedName>
    <definedName name="QB_FORMULA_36" localSheetId="0" hidden="1">Sheet1!#REF!,Sheet1!#REF!,Sheet1!#REF!,Sheet1!$F$460,Sheet1!$F$461,Sheet1!$F$462,Sheet1!#REF!,Sheet1!#REF!,Sheet1!$F$464,Sheet1!$F$465,Sheet1!$F$466,Sheet1!#REF!,Sheet1!#REF!,Sheet1!$F$468,Sheet1!$F$469,Sheet1!$F$470</definedName>
    <definedName name="QB_FORMULA_37" localSheetId="0" hidden="1">Sheet1!$F$471,Sheet1!#REF!,Sheet1!#REF!,Sheet1!$F$473,Sheet1!$F$474,Sheet1!$F$475,Sheet1!#REF!,Sheet1!#REF!,Sheet1!$F$477,Sheet1!#REF!,Sheet1!#REF!,Sheet1!$F$479,Sheet1!#REF!,Sheet1!#REF!,Sheet1!#REF!,Sheet1!$F$482</definedName>
    <definedName name="QB_FORMULA_38" localSheetId="0" hidden="1">Sheet1!#REF!,Sheet1!#REF!,Sheet1!$F$484,Sheet1!$F$485,Sheet1!#REF!,Sheet1!#REF!,Sheet1!$F$487,Sheet1!#REF!,Sheet1!#REF!,Sheet1!$F$489,Sheet1!$F$490,Sheet1!$F$491,Sheet1!$F$492,Sheet1!#REF!,Sheet1!#REF!,Sheet1!$F$494</definedName>
    <definedName name="QB_FORMULA_39" localSheetId="0" hidden="1">Sheet1!$F$495,Sheet1!#REF!,Sheet1!#REF!,Sheet1!$F$497,Sheet1!#REF!,Sheet1!#REF!,Sheet1!$F$499,Sheet1!$F$500,Sheet1!$F$501,Sheet1!#REF!,Sheet1!#REF!,Sheet1!$F$503,Sheet1!#REF!,Sheet1!#REF!,Sheet1!$F$505,Sheet1!$F$506</definedName>
    <definedName name="QB_FORMULA_4" localSheetId="0" hidden="1">Sheet1!$F$67,Sheet1!$E$68,Sheet1!$F$68,Sheet1!$F$70,Sheet1!$F$71,Sheet1!$E$72,Sheet1!$F$72,Sheet1!$F$74,Sheet1!$F$75,Sheet1!$E$76,Sheet1!$F$76,Sheet1!$F$78,Sheet1!$F$80,Sheet1!$F$81,Sheet1!$F$82,Sheet1!$F$83</definedName>
    <definedName name="QB_FORMULA_40" localSheetId="0" hidden="1">Sheet1!$F$507,Sheet1!#REF!,Sheet1!#REF!,Sheet1!#REF!,Sheet1!$F$510,Sheet1!#REF!,Sheet1!#REF!,Sheet1!#REF!,Sheet1!$F$513,Sheet1!$F$514,Sheet1!#REF!,Sheet1!#REF!,Sheet1!#REF!,Sheet1!#REF!,Sheet1!$F$517,Sheet1!$F$518</definedName>
    <definedName name="QB_FORMULA_41" localSheetId="0" hidden="1">Sheet1!#REF!,Sheet1!#REF!,Sheet1!#REF!,Sheet1!#REF!,Sheet1!#REF!,Sheet1!$F$523,Sheet1!#REF!,Sheet1!#REF!,Sheet1!#REF!,Sheet1!$F$526,Sheet1!$F$527,Sheet1!#REF!,Sheet1!#REF!,Sheet1!#REF!,Sheet1!$F$530,Sheet1!#REF!</definedName>
    <definedName name="QB_FORMULA_42" localSheetId="0" hidden="1">Sheet1!#REF!,Sheet1!$F$532,Sheet1!$F$533,Sheet1!#REF!,Sheet1!#REF!,Sheet1!$F$535,Sheet1!$F$536,Sheet1!#REF!,Sheet1!#REF!,Sheet1!$F$538,Sheet1!#REF!,Sheet1!#REF!,Sheet1!$F$540,Sheet1!#REF!,Sheet1!#REF!,Sheet1!$F$542</definedName>
    <definedName name="QB_FORMULA_43" localSheetId="0" hidden="1">Sheet1!$F$543,Sheet1!$F$544,Sheet1!#REF!,Sheet1!#REF!,Sheet1!$F$546,Sheet1!$F$547,Sheet1!$F$548,Sheet1!$F$549,Sheet1!#REF!,Sheet1!#REF!,Sheet1!$F$551,Sheet1!$F$552,Sheet1!$F$553,Sheet1!#REF!,Sheet1!#REF!,Sheet1!$F$555</definedName>
    <definedName name="QB_FORMULA_44" localSheetId="0" hidden="1">Sheet1!$F$556,Sheet1!#REF!,Sheet1!#REF!,Sheet1!$F$558,Sheet1!$F$559,Sheet1!#REF!,Sheet1!#REF!,Sheet1!#REF!,Sheet1!$F$562,Sheet1!#REF!,Sheet1!#REF!,Sheet1!$F$564,Sheet1!$F$565,Sheet1!#REF!,Sheet1!#REF!,Sheet1!$F$567</definedName>
    <definedName name="QB_FORMULA_45" localSheetId="0" hidden="1">Sheet1!#REF!,Sheet1!#REF!,Sheet1!$F$569,Sheet1!#REF!,Sheet1!#REF!,Sheet1!#REF!,Sheet1!#REF!,Sheet1!#REF!,Sheet1!#REF!,Sheet1!#REF!,Sheet1!$F$574,Sheet1!#REF!,Sheet1!#REF!,Sheet1!#REF!,Sheet1!$F$576,Sheet1!$F$577</definedName>
    <definedName name="QB_FORMULA_46" localSheetId="0" hidden="1">Sheet1!#REF!,Sheet1!#REF!,Sheet1!#REF!,Sheet1!$F$580,Sheet1!#REF!,Sheet1!#REF!,Sheet1!$F$582,Sheet1!$F$583,Sheet1!$F$584,Sheet1!#REF!,Sheet1!#REF!,Sheet1!$F$586,Sheet1!$F$587,Sheet1!#REF!,Sheet1!#REF!,Sheet1!#REF!</definedName>
    <definedName name="QB_FORMULA_47" localSheetId="0" hidden="1">Sheet1!$F$590,Sheet1!$F$591,Sheet1!#REF!,Sheet1!#REF!,Sheet1!#REF!,Sheet1!#REF!,Sheet1!#REF!,Sheet1!#REF!,Sheet1!#REF!,Sheet1!$F$595,Sheet1!$F$596,Sheet1!$F$597,Sheet1!#REF!,Sheet1!#REF!,Sheet1!$F$599,Sheet1!#REF!</definedName>
    <definedName name="QB_FORMULA_48" localSheetId="0" hidden="1">Sheet1!#REF!,Sheet1!$F$601,Sheet1!$F$602,Sheet1!$F$603,Sheet1!#REF!,Sheet1!#REF!,Sheet1!$F$605,Sheet1!$F$606,Sheet1!$F$607,Sheet1!$F$608,Sheet1!#REF!,Sheet1!#REF!,Sheet1!$F$610,Sheet1!$F$611,Sheet1!#REF!,Sheet1!#REF!</definedName>
    <definedName name="QB_FORMULA_49" localSheetId="0" hidden="1">Sheet1!#REF!,Sheet1!$F$614,Sheet1!#REF!,Sheet1!#REF!,Sheet1!$F$616,Sheet1!$F$617,Sheet1!#REF!,Sheet1!#REF!,Sheet1!#REF!,Sheet1!$F$620,Sheet1!$F$621,Sheet1!#REF!,Sheet1!#REF!,Sheet1!$F$623,Sheet1!#REF!,Sheet1!#REF!</definedName>
    <definedName name="QB_FORMULA_5" localSheetId="0" hidden="1">Sheet1!$F$84,Sheet1!$F$85,Sheet1!$F$86,Sheet1!$F$87,Sheet1!$F$88,Sheet1!$E$89,Sheet1!$F$89,Sheet1!$F$91,Sheet1!$F$92,Sheet1!$F$93,Sheet1!$E$94,Sheet1!$F$94,Sheet1!$F$96,Sheet1!$F$98,Sheet1!$F$99,Sheet1!$F$100</definedName>
    <definedName name="QB_FORMULA_50" localSheetId="0" hidden="1">Sheet1!#REF!,Sheet1!$F$625,Sheet1!$F$626,Sheet1!$F$627,Sheet1!#REF!,Sheet1!#REF!,Sheet1!$F$629,Sheet1!$F$630,Sheet1!$F$631,Sheet1!#REF!,Sheet1!#REF!,Sheet1!#REF!,Sheet1!#REF!,Sheet1!#REF!,Sheet1!#REF!,Sheet1!#REF!</definedName>
    <definedName name="QB_FORMULA_51" localSheetId="0" hidden="1">Sheet1!#REF!,Sheet1!$F$633,Sheet1!$F$634,Sheet1!$F$635,Sheet1!$F$636,Sheet1!#REF!,Sheet1!#REF!,Sheet1!$F$638,Sheet1!$F$639,Sheet1!$F$640,Sheet1!#REF!,Sheet1!#REF!,Sheet1!$F$642,Sheet1!#REF!,Sheet1!#REF!,Sheet1!$F$644</definedName>
    <definedName name="QB_FORMULA_52" localSheetId="0" hidden="1">Sheet1!$F$645,Sheet1!#REF!,Sheet1!#REF!,Sheet1!$F$647,Sheet1!$F$648,Sheet1!#REF!,Sheet1!#REF!,Sheet1!$F$650,Sheet1!$F$651,Sheet1!$F$652,Sheet1!$F$653,Sheet1!#REF!,Sheet1!#REF!,Sheet1!#REF!,Sheet1!$F$655,Sheet1!#REF!</definedName>
    <definedName name="QB_FORMULA_53" localSheetId="0" hidden="1">Sheet1!#REF!,Sheet1!#REF!,Sheet1!$F$658,Sheet1!$F$659,Sheet1!#REF!,Sheet1!#REF!,Sheet1!$F$661,Sheet1!#REF!,Sheet1!#REF!,Sheet1!#REF!,Sheet1!$F$664,Sheet1!$F$665,Sheet1!$F$666,Sheet1!$F$667,Sheet1!#REF!,Sheet1!#REF!</definedName>
    <definedName name="QB_FORMULA_54" localSheetId="0" hidden="1">Sheet1!$F$669,Sheet1!#REF!,Sheet1!#REF!,Sheet1!$F$671,Sheet1!$F$672,Sheet1!#REF!,Sheet1!#REF!,Sheet1!$F$674,Sheet1!$F$675,Sheet1!$F$676,Sheet1!#REF!,Sheet1!#REF!,Sheet1!$F$678,Sheet1!$F$679,Sheet1!#REF!,Sheet1!#REF!</definedName>
    <definedName name="QB_FORMULA_55" localSheetId="0" hidden="1">Sheet1!#REF!,Sheet1!$F$682,Sheet1!$F$683,Sheet1!#REF!,Sheet1!#REF!,Sheet1!$F$685,Sheet1!$F$686,Sheet1!#REF!,Sheet1!#REF!,Sheet1!$F$688,Sheet1!#REF!,Sheet1!#REF!,Sheet1!$F$690,Sheet1!#REF!,Sheet1!#REF!,Sheet1!#REF!</definedName>
    <definedName name="QB_FORMULA_56" localSheetId="0" hidden="1">Sheet1!#REF!,Sheet1!#REF!,Sheet1!#REF!,Sheet1!#REF!,Sheet1!#REF!,Sheet1!$F$698,Sheet1!#REF!,Sheet1!#REF!,Sheet1!#REF!,Sheet1!$F$701,Sheet1!#REF!,Sheet1!#REF!,Sheet1!$F$703,Sheet1!$F$704,Sheet1!#REF!,Sheet1!#REF!</definedName>
    <definedName name="QB_FORMULA_57" localSheetId="0" hidden="1">Sheet1!$F$706,Sheet1!#REF!,Sheet1!#REF!,Sheet1!$F$708,Sheet1!$F$709,Sheet1!#REF!,Sheet1!#REF!,Sheet1!$F$711,Sheet1!$F$712,Sheet1!$F$713,Sheet1!$F$714,Sheet1!#REF!,Sheet1!#REF!,Sheet1!#REF!,Sheet1!$F$717,Sheet1!#REF!</definedName>
    <definedName name="QB_FORMULA_58" localSheetId="0" hidden="1">Sheet1!#REF!,Sheet1!#REF!,Sheet1!$F$720,Sheet1!#REF!,Sheet1!#REF!,Sheet1!#REF!,Sheet1!#REF!,Sheet1!$F$724,Sheet1!#REF!,Sheet1!#REF!,Sheet1!$F$726,Sheet1!$F$727,Sheet1!#REF!,Sheet1!#REF!,Sheet1!#REF!,Sheet1!$F$730</definedName>
    <definedName name="QB_FORMULA_59" localSheetId="0" hidden="1">Sheet1!$F$731,Sheet1!#REF!,Sheet1!#REF!,Sheet1!$F$733,Sheet1!#REF!,Sheet1!#REF!,Sheet1!#REF!,Sheet1!#REF!,Sheet1!#REF!,Sheet1!#REF!,Sheet1!#REF!,Sheet1!#REF!,Sheet1!$F$741,Sheet1!$F$742,Sheet1!#REF!,Sheet1!#REF!</definedName>
    <definedName name="QB_FORMULA_6" localSheetId="0" hidden="1">Sheet1!$F$101,Sheet1!$F$102,Sheet1!$F$103,Sheet1!$E$104,Sheet1!$F$104,Sheet1!$F$106,Sheet1!$F$108,Sheet1!#REF!,Sheet1!#REF!,Sheet1!#REF!,Sheet1!$F$111,Sheet1!$F$112,Sheet1!#REF!,Sheet1!#REF!,Sheet1!$F$114,Sheet1!$F$115</definedName>
    <definedName name="QB_FORMULA_60" localSheetId="0" hidden="1">Sheet1!#REF!,Sheet1!#REF!,Sheet1!$F$745,Sheet1!$F$746,Sheet1!$F$747,Sheet1!$F$748,Sheet1!$F$749,Sheet1!$F$750,Sheet1!#REF!,Sheet1!#REF!,Sheet1!$F$752,Sheet1!$F$753,Sheet1!#REF!,Sheet1!#REF!,Sheet1!$F$755,Sheet1!#REF!</definedName>
    <definedName name="QB_FORMULA_61" localSheetId="0" hidden="1">Sheet1!#REF!,Sheet1!#REF!,Sheet1!$F$758,Sheet1!$F$759,Sheet1!#REF!,Sheet1!#REF!,Sheet1!#REF!,Sheet1!$F$762,Sheet1!#REF!,Sheet1!#REF!,Sheet1!#REF!,Sheet1!#REF!,Sheet1!#REF!,Sheet1!#REF!,Sheet1!#REF!,Sheet1!$F$769</definedName>
    <definedName name="QB_FORMULA_62" localSheetId="0" hidden="1">Sheet1!$F$770,Sheet1!#REF!,Sheet1!#REF!,Sheet1!$F$772,Sheet1!$F$773,Sheet1!#REF!,Sheet1!#REF!,Sheet1!#REF!,Sheet1!#REF!,Sheet1!$F$777,Sheet1!#REF!,Sheet1!#REF!,Sheet1!#REF!,Sheet1!$F$780,Sheet1!$F$781,Sheet1!$F$782</definedName>
    <definedName name="QB_FORMULA_63" localSheetId="0" hidden="1">Sheet1!#REF!,Sheet1!#REF!,Sheet1!$F$784,Sheet1!$F$785,Sheet1!#REF!,Sheet1!#REF!,Sheet1!#REF!,Sheet1!#REF!,Sheet1!#REF!,Sheet1!$F$790,Sheet1!$F$791,Sheet1!$F$792,Sheet1!#REF!,Sheet1!#REF!,Sheet1!#REF!,Sheet1!$F$795</definedName>
    <definedName name="QB_FORMULA_64" localSheetId="0" hidden="1">Sheet1!#REF!,Sheet1!#REF!,Sheet1!#REF!,Sheet1!$F$798,Sheet1!$F$799,Sheet1!#REF!,Sheet1!#REF!,Sheet1!$F$801,Sheet1!$F$802,Sheet1!#REF!,Sheet1!#REF!,Sheet1!$F$804,Sheet1!#REF!,Sheet1!#REF!,Sheet1!#REF!,Sheet1!$F$807</definedName>
    <definedName name="QB_FORMULA_65" localSheetId="0" hidden="1">Sheet1!$F$808,Sheet1!#REF!,Sheet1!#REF!,Sheet1!$F$810,Sheet1!$F$811,Sheet1!$F$812,Sheet1!$F$813,Sheet1!$F$814,Sheet1!#REF!,Sheet1!#REF!,Sheet1!#REF!,Sheet1!#REF!,Sheet1!#REF!,Sheet1!#REF!,Sheet1!#REF!,Sheet1!$F$821</definedName>
    <definedName name="QB_FORMULA_66" localSheetId="0" hidden="1">Sheet1!$F$822,Sheet1!#REF!,Sheet1!#REF!,Sheet1!$F$824,Sheet1!$F$825,Sheet1!#REF!,Sheet1!#REF!,Sheet1!$F$827,Sheet1!#REF!,Sheet1!#REF!,Sheet1!#REF!,Sheet1!#REF!,Sheet1!#REF!,Sheet1!#REF!,Sheet1!$F$831,Sheet1!#REF!</definedName>
    <definedName name="QB_FORMULA_67" localSheetId="0" hidden="1">Sheet1!#REF!,Sheet1!#REF!,Sheet1!#REF!,Sheet1!#REF!,Sheet1!#REF!,Sheet1!#REF!,Sheet1!#REF!,Sheet1!$F$837,Sheet1!$F$838,Sheet1!$F$839,Sheet1!#REF!,Sheet1!#REF!,Sheet1!$F$841,Sheet1!$F$842,Sheet1!$F$843,Sheet1!#REF!</definedName>
    <definedName name="QB_FORMULA_68" localSheetId="0" hidden="1">Sheet1!#REF!,Sheet1!#REF!,Sheet1!#REF!,Sheet1!#REF!,Sheet1!#REF!,Sheet1!$F$849,Sheet1!$F$850,Sheet1!$F$851,Sheet1!#REF!,Sheet1!#REF!,Sheet1!$F$853,Sheet1!#REF!,Sheet1!#REF!,Sheet1!#REF!,Sheet1!$F$856,Sheet1!$F$857</definedName>
    <definedName name="QB_FORMULA_69" localSheetId="0" hidden="1">Sheet1!#REF!,Sheet1!#REF!,Sheet1!$F$859,Sheet1!$F$860,Sheet1!$F$861,Sheet1!#REF!,Sheet1!#REF!,Sheet1!$F$863,Sheet1!#REF!,Sheet1!#REF!,Sheet1!#REF!,Sheet1!$F$866,Sheet1!$F$867,Sheet1!#REF!,Sheet1!#REF!,Sheet1!$F$869</definedName>
    <definedName name="QB_FORMULA_7" localSheetId="0" hidden="1">Sheet1!$F$116,Sheet1!#REF!,Sheet1!#REF!,Sheet1!$F$118,Sheet1!$F$119,Sheet1!$F$120,Sheet1!#REF!,Sheet1!#REF!,Sheet1!$F$122,Sheet1!$F$123,Sheet1!$F$124,Sheet1!#REF!,Sheet1!#REF!,Sheet1!$F$126,Sheet1!$F$127,Sheet1!#REF!</definedName>
    <definedName name="QB_FORMULA_70" localSheetId="0" hidden="1">Sheet1!#REF!,Sheet1!#REF!,Sheet1!#REF!,Sheet1!#REF!,Sheet1!$F$873,Sheet1!$F$874,Sheet1!$F$875,Sheet1!#REF!,Sheet1!#REF!,Sheet1!$F$877,Sheet1!#REF!,Sheet1!#REF!,Sheet1!#REF!,Sheet1!$F$880,Sheet1!$F$881,Sheet1!$F$882</definedName>
    <definedName name="QB_FORMULA_71" localSheetId="0" hidden="1">Sheet1!$F$883,Sheet1!#REF!,Sheet1!#REF!,Sheet1!$F$885,Sheet1!#REF!,Sheet1!#REF!,Sheet1!#REF!,Sheet1!$F$888,Sheet1!$F$889,Sheet1!$E$890,Sheet1!$F$890,Sheet1!#REF!,Sheet1!#REF!,Sheet1!$F$894,Sheet1!$F$895,Sheet1!$F$896</definedName>
    <definedName name="QB_FORMULA_72" localSheetId="0" hidden="1">Sheet1!$F$897,Sheet1!#REF!,Sheet1!#REF!,Sheet1!#REF!,Sheet1!$F$900,Sheet1!#REF!,Sheet1!#REF!,Sheet1!$F$902,Sheet1!$F$903,Sheet1!#REF!,Sheet1!#REF!,Sheet1!#REF!,Sheet1!#REF!,Sheet1!$F$907,Sheet1!$F$908,Sheet1!$F$909</definedName>
    <definedName name="QB_FORMULA_73" localSheetId="0" hidden="1">Sheet1!$F$910,Sheet1!#REF!,Sheet1!#REF!,Sheet1!#REF!,Sheet1!$F$913,Sheet1!$F$914,Sheet1!$F$915,Sheet1!#REF!,Sheet1!#REF!,Sheet1!$F$917,Sheet1!#REF!,Sheet1!#REF!,Sheet1!$F$919,Sheet1!$F$920,Sheet1!$F$921,Sheet1!#REF!</definedName>
    <definedName name="QB_FORMULA_74" localSheetId="0" hidden="1">Sheet1!#REF!,Sheet1!#REF!,Sheet1!#REF!,Sheet1!$F$925,Sheet1!$F$926,Sheet1!$F$927,Sheet1!$F$928,Sheet1!#REF!,Sheet1!#REF!,Sheet1!#REF!,Sheet1!#REF!,Sheet1!#REF!,Sheet1!#REF!,Sheet1!$F$930,Sheet1!$F$931,Sheet1!$F$932</definedName>
    <definedName name="QB_FORMULA_75" localSheetId="0" hidden="1">Sheet1!$F$933,Sheet1!#REF!,Sheet1!#REF!,Sheet1!$F$935,Sheet1!$F$936,Sheet1!$F$937,Sheet1!#REF!,Sheet1!#REF!,Sheet1!$F$939,Sheet1!$F$940,Sheet1!$F$941,Sheet1!#REF!,Sheet1!#REF!,Sheet1!#REF!,Sheet1!$F$944,Sheet1!$F$945</definedName>
    <definedName name="QB_FORMULA_76" localSheetId="0" hidden="1">Sheet1!#REF!,Sheet1!#REF!,Sheet1!$F$947,Sheet1!$F$948,Sheet1!#REF!,Sheet1!#REF!,Sheet1!#REF!,Sheet1!#REF!,Sheet1!#REF!,Sheet1!#REF!,Sheet1!$F$953,Sheet1!#REF!,Sheet1!#REF!,Sheet1!#REF!,Sheet1!#REF!,Sheet1!$F$957</definedName>
    <definedName name="QB_FORMULA_77" localSheetId="0" hidden="1">Sheet1!#REF!,Sheet1!#REF!,Sheet1!$F$959,Sheet1!#REF!,Sheet1!#REF!,Sheet1!#REF!,Sheet1!#REF!,Sheet1!$F$963,Sheet1!$F$964,Sheet1!#REF!,Sheet1!#REF!,Sheet1!$F$966,Sheet1!$F$967,Sheet1!$F$968,Sheet1!$F$969,Sheet1!#REF!</definedName>
    <definedName name="QB_FORMULA_78" localSheetId="0" hidden="1">Sheet1!#REF!,Sheet1!#REF!,Sheet1!#REF!,Sheet1!#REF!,Sheet1!#REF!,Sheet1!$F$972,Sheet1!#REF!,Sheet1!#REF!,Sheet1!$F$974,Sheet1!$F$975,Sheet1!$F$976,Sheet1!$F$977,Sheet1!#REF!,Sheet1!#REF!,Sheet1!#REF!,Sheet1!#REF!</definedName>
    <definedName name="QB_FORMULA_79" localSheetId="0" hidden="1">Sheet1!$F$980,Sheet1!#REF!,Sheet1!#REF!,Sheet1!$F$982,Sheet1!#REF!,Sheet1!#REF!,Sheet1!#REF!,Sheet1!#REF!,Sheet1!$F$986,Sheet1!#REF!,Sheet1!#REF!,Sheet1!#REF!,Sheet1!#REF!,Sheet1!#REF!,Sheet1!$F$989,Sheet1!$F$990</definedName>
    <definedName name="QB_FORMULA_8" localSheetId="0" hidden="1">Sheet1!#REF!,Sheet1!$F$129,Sheet1!#REF!,Sheet1!#REF!,Sheet1!#REF!,Sheet1!#REF!,Sheet1!$F$133,Sheet1!$F$134,Sheet1!#REF!,Sheet1!#REF!,Sheet1!#REF!,Sheet1!#REF!,Sheet1!#REF!,Sheet1!#REF!,Sheet1!#REF!,Sheet1!#REF!</definedName>
    <definedName name="QB_FORMULA_80" localSheetId="0" hidden="1">Sheet1!$F$991,Sheet1!$F$992,Sheet1!#REF!,Sheet1!#REF!,Sheet1!$F$994,Sheet1!#REF!,Sheet1!#REF!,Sheet1!$F$996,Sheet1!$F$997,Sheet1!$F$998,Sheet1!$F$999,Sheet1!#REF!,Sheet1!#REF!,Sheet1!#REF!,Sheet1!#REF!,Sheet1!#REF!</definedName>
    <definedName name="QB_FORMULA_81" localSheetId="0" hidden="1">Sheet1!$F$1004,Sheet1!$F$1005,Sheet1!#REF!,Sheet1!#REF!,Sheet1!$F$1007,Sheet1!$F$1008,Sheet1!$F$1009,Sheet1!#REF!,Sheet1!#REF!,Sheet1!$F$1011,Sheet1!$F$1012,Sheet1!$F$1013,Sheet1!#REF!,Sheet1!#REF!,Sheet1!$F$1015,Sheet1!#REF!</definedName>
    <definedName name="QB_FORMULA_82" localSheetId="0" hidden="1">Sheet1!#REF!,Sheet1!#REF!,Sheet1!$F$1018,Sheet1!$F$1019,Sheet1!$F$1020,Sheet1!$F$1021,Sheet1!#REF!,Sheet1!#REF!,Sheet1!$F$1023,Sheet1!$F$1024,Sheet1!$F$1025,Sheet1!$F$1026,Sheet1!#REF!,Sheet1!#REF!,Sheet1!#REF!,Sheet1!$F$1028</definedName>
    <definedName name="QB_FORMULA_83" localSheetId="0" hidden="1">Sheet1!$F$1029,Sheet1!$F$1030,Sheet1!#REF!,Sheet1!#REF!,Sheet1!#REF!,Sheet1!#REF!,Sheet1!#REF!,Sheet1!$F$1035,Sheet1!$F$1036,Sheet1!$F$1037,Sheet1!#REF!,Sheet1!#REF!,Sheet1!$F$1039,Sheet1!$F$1040,Sheet1!$F$1041,Sheet1!$F$1042</definedName>
    <definedName name="QB_FORMULA_84" localSheetId="0" hidden="1">Sheet1!$F$1043,Sheet1!$F$1044,Sheet1!#REF!,Sheet1!#REF!,Sheet1!#REF!,Sheet1!$F$1047,Sheet1!$F$1048,Sheet1!$F$1049,Sheet1!$F$1050,Sheet1!$F$1051,Sheet1!#REF!,Sheet1!#REF!,Sheet1!$F$1053,Sheet1!$F$1054,Sheet1!$F$1055,Sheet1!$F$1056</definedName>
    <definedName name="QB_FORMULA_85" localSheetId="0" hidden="1">Sheet1!#REF!,Sheet1!#REF!,Sheet1!$F$1058,Sheet1!$F$1059,Sheet1!#REF!,Sheet1!#REF!,Sheet1!$F$1061,Sheet1!#REF!,Sheet1!#REF!,Sheet1!#REF!,Sheet1!$F$1064,Sheet1!#REF!,Sheet1!#REF!,Sheet1!$F$1066,Sheet1!#REF!,Sheet1!#REF!</definedName>
    <definedName name="QB_FORMULA_86" localSheetId="0" hidden="1">Sheet1!$E$1067,Sheet1!$F$1067</definedName>
    <definedName name="QB_FORMULA_9" localSheetId="0" hidden="1">Sheet1!#REF!,Sheet1!#REF!,Sheet1!$F$137,Sheet1!$F$138,Sheet1!$F$139,Sheet1!#REF!,Sheet1!#REF!,Sheet1!$F$141,Sheet1!$F$142,Sheet1!$F$143,Sheet1!#REF!,Sheet1!#REF!,Sheet1!$F$145,Sheet1!$F$146,Sheet1!#REF!,Sheet1!#REF!</definedName>
    <definedName name="QB_ROW_100010" localSheetId="0" hidden="1">Sheet1!#REF!</definedName>
    <definedName name="QB_ROW_10010" localSheetId="0" hidden="1">Sheet1!#REF!</definedName>
    <definedName name="QB_ROW_100310" localSheetId="0" hidden="1">Sheet1!#REF!</definedName>
    <definedName name="QB_ROW_101010" localSheetId="0" hidden="1">Sheet1!#REF!</definedName>
    <definedName name="QB_ROW_101310" localSheetId="0" hidden="1">Sheet1!#REF!</definedName>
    <definedName name="QB_ROW_102010" localSheetId="0" hidden="1">Sheet1!#REF!</definedName>
    <definedName name="QB_ROW_102310" localSheetId="0" hidden="1">Sheet1!#REF!</definedName>
    <definedName name="QB_ROW_103010" localSheetId="0" hidden="1">Sheet1!#REF!</definedName>
    <definedName name="QB_ROW_10310" localSheetId="0" hidden="1">Sheet1!#REF!</definedName>
    <definedName name="QB_ROW_103310" localSheetId="0" hidden="1">Sheet1!#REF!</definedName>
    <definedName name="QB_ROW_104010" localSheetId="0" hidden="1">Sheet1!#REF!</definedName>
    <definedName name="QB_ROW_104310" localSheetId="0" hidden="1">Sheet1!#REF!</definedName>
    <definedName name="QB_ROW_105010" localSheetId="0" hidden="1">Sheet1!#REF!</definedName>
    <definedName name="QB_ROW_105310" localSheetId="0" hidden="1">Sheet1!#REF!</definedName>
    <definedName name="QB_ROW_106010" localSheetId="0" hidden="1">Sheet1!#REF!</definedName>
    <definedName name="QB_ROW_106310" localSheetId="0" hidden="1">Sheet1!#REF!</definedName>
    <definedName name="QB_ROW_108010" localSheetId="0" hidden="1">Sheet1!#REF!</definedName>
    <definedName name="QB_ROW_108310" localSheetId="0" hidden="1">Sheet1!#REF!</definedName>
    <definedName name="QB_ROW_109010" localSheetId="0" hidden="1">Sheet1!#REF!</definedName>
    <definedName name="QB_ROW_109310" localSheetId="0" hidden="1">Sheet1!#REF!</definedName>
    <definedName name="QB_ROW_11010" localSheetId="0" hidden="1">Sheet1!#REF!</definedName>
    <definedName name="QB_ROW_111010" localSheetId="0" hidden="1">Sheet1!#REF!</definedName>
    <definedName name="QB_ROW_111310" localSheetId="0" hidden="1">Sheet1!#REF!</definedName>
    <definedName name="QB_ROW_112010" localSheetId="0" hidden="1">Sheet1!#REF!</definedName>
    <definedName name="QB_ROW_112310" localSheetId="0" hidden="1">Sheet1!#REF!</definedName>
    <definedName name="QB_ROW_113010" localSheetId="0" hidden="1">Sheet1!#REF!</definedName>
    <definedName name="QB_ROW_11310" localSheetId="0" hidden="1">Sheet1!#REF!</definedName>
    <definedName name="QB_ROW_113310" localSheetId="0" hidden="1">Sheet1!#REF!</definedName>
    <definedName name="QB_ROW_114010" localSheetId="0" hidden="1">Sheet1!#REF!</definedName>
    <definedName name="QB_ROW_114310" localSheetId="0" hidden="1">Sheet1!#REF!</definedName>
    <definedName name="QB_ROW_115010" localSheetId="0" hidden="1">Sheet1!#REF!</definedName>
    <definedName name="QB_ROW_115310" localSheetId="0" hidden="1">Sheet1!#REF!</definedName>
    <definedName name="QB_ROW_116010" localSheetId="0" hidden="1">Sheet1!#REF!</definedName>
    <definedName name="QB_ROW_116310" localSheetId="0" hidden="1">Sheet1!#REF!</definedName>
    <definedName name="QB_ROW_117010" localSheetId="0" hidden="1">Sheet1!#REF!</definedName>
    <definedName name="QB_ROW_117310" localSheetId="0" hidden="1">Sheet1!#REF!</definedName>
    <definedName name="QB_ROW_118010" localSheetId="0" hidden="1">Sheet1!#REF!</definedName>
    <definedName name="QB_ROW_118310" localSheetId="0" hidden="1">Sheet1!#REF!</definedName>
    <definedName name="QB_ROW_119010" localSheetId="0" hidden="1">Sheet1!#REF!</definedName>
    <definedName name="QB_ROW_119310" localSheetId="0" hidden="1">Sheet1!#REF!</definedName>
    <definedName name="QB_ROW_120010" localSheetId="0" hidden="1">Sheet1!#REF!</definedName>
    <definedName name="QB_ROW_12010" localSheetId="0" hidden="1">Sheet1!#REF!</definedName>
    <definedName name="QB_ROW_120310" localSheetId="0" hidden="1">Sheet1!#REF!</definedName>
    <definedName name="QB_ROW_121010" localSheetId="0" hidden="1">Sheet1!#REF!</definedName>
    <definedName name="QB_ROW_121310" localSheetId="0" hidden="1">Sheet1!#REF!</definedName>
    <definedName name="QB_ROW_122010" localSheetId="0" hidden="1">Sheet1!#REF!</definedName>
    <definedName name="QB_ROW_122310" localSheetId="0" hidden="1">Sheet1!#REF!</definedName>
    <definedName name="QB_ROW_123010" localSheetId="0" hidden="1">Sheet1!#REF!</definedName>
    <definedName name="QB_ROW_12310" localSheetId="0" hidden="1">Sheet1!#REF!</definedName>
    <definedName name="QB_ROW_123310" localSheetId="0" hidden="1">Sheet1!#REF!</definedName>
    <definedName name="QB_ROW_124010" localSheetId="0" hidden="1">Sheet1!#REF!</definedName>
    <definedName name="QB_ROW_124310" localSheetId="0" hidden="1">Sheet1!#REF!</definedName>
    <definedName name="QB_ROW_125010" localSheetId="0" hidden="1">Sheet1!#REF!</definedName>
    <definedName name="QB_ROW_125310" localSheetId="0" hidden="1">Sheet1!#REF!</definedName>
    <definedName name="QB_ROW_127010" localSheetId="0" hidden="1">Sheet1!#REF!</definedName>
    <definedName name="QB_ROW_127310" localSheetId="0" hidden="1">Sheet1!#REF!</definedName>
    <definedName name="QB_ROW_128010" localSheetId="0" hidden="1">Sheet1!#REF!</definedName>
    <definedName name="QB_ROW_128310" localSheetId="0" hidden="1">Sheet1!#REF!</definedName>
    <definedName name="QB_ROW_129010" localSheetId="0" hidden="1">Sheet1!#REF!</definedName>
    <definedName name="QB_ROW_129310" localSheetId="0" hidden="1">Sheet1!#REF!</definedName>
    <definedName name="QB_ROW_130010" localSheetId="0" hidden="1">Sheet1!#REF!</definedName>
    <definedName name="QB_ROW_13010" localSheetId="0" hidden="1">Sheet1!#REF!</definedName>
    <definedName name="QB_ROW_130310" localSheetId="0" hidden="1">Sheet1!#REF!</definedName>
    <definedName name="QB_ROW_131010" localSheetId="0" hidden="1">Sheet1!#REF!</definedName>
    <definedName name="QB_ROW_131310" localSheetId="0" hidden="1">Sheet1!#REF!</definedName>
    <definedName name="QB_ROW_133010" localSheetId="0" hidden="1">Sheet1!#REF!</definedName>
    <definedName name="QB_ROW_13310" localSheetId="0" hidden="1">Sheet1!#REF!</definedName>
    <definedName name="QB_ROW_133310" localSheetId="0" hidden="1">Sheet1!#REF!</definedName>
    <definedName name="QB_ROW_134010" localSheetId="0" hidden="1">Sheet1!#REF!</definedName>
    <definedName name="QB_ROW_134310" localSheetId="0" hidden="1">Sheet1!#REF!</definedName>
    <definedName name="QB_ROW_135010" localSheetId="0" hidden="1">Sheet1!#REF!</definedName>
    <definedName name="QB_ROW_135310" localSheetId="0" hidden="1">Sheet1!#REF!</definedName>
    <definedName name="QB_ROW_136010" localSheetId="0" hidden="1">Sheet1!#REF!</definedName>
    <definedName name="QB_ROW_136310" localSheetId="0" hidden="1">Sheet1!#REF!</definedName>
    <definedName name="QB_ROW_137010" localSheetId="0" hidden="1">Sheet1!#REF!</definedName>
    <definedName name="QB_ROW_137310" localSheetId="0" hidden="1">Sheet1!#REF!</definedName>
    <definedName name="QB_ROW_138010" localSheetId="0" hidden="1">Sheet1!#REF!</definedName>
    <definedName name="QB_ROW_138310" localSheetId="0" hidden="1">Sheet1!#REF!</definedName>
    <definedName name="QB_ROW_139010" localSheetId="0" hidden="1">Sheet1!#REF!</definedName>
    <definedName name="QB_ROW_139310" localSheetId="0" hidden="1">Sheet1!#REF!</definedName>
    <definedName name="QB_ROW_140010" localSheetId="0" hidden="1">Sheet1!#REF!</definedName>
    <definedName name="QB_ROW_14010" localSheetId="0" hidden="1">Sheet1!#REF!</definedName>
    <definedName name="QB_ROW_140310" localSheetId="0" hidden="1">Sheet1!#REF!</definedName>
    <definedName name="QB_ROW_141010" localSheetId="0" hidden="1">Sheet1!#REF!</definedName>
    <definedName name="QB_ROW_141310" localSheetId="0" hidden="1">Sheet1!#REF!</definedName>
    <definedName name="QB_ROW_142010" localSheetId="0" hidden="1">Sheet1!#REF!</definedName>
    <definedName name="QB_ROW_142310" localSheetId="0" hidden="1">Sheet1!#REF!</definedName>
    <definedName name="QB_ROW_143010" localSheetId="0" hidden="1">Sheet1!#REF!</definedName>
    <definedName name="QB_ROW_14310" localSheetId="0" hidden="1">Sheet1!#REF!</definedName>
    <definedName name="QB_ROW_143310" localSheetId="0" hidden="1">Sheet1!#REF!</definedName>
    <definedName name="QB_ROW_144010" localSheetId="0" hidden="1">Sheet1!#REF!</definedName>
    <definedName name="QB_ROW_144310" localSheetId="0" hidden="1">Sheet1!#REF!</definedName>
    <definedName name="QB_ROW_145010" localSheetId="0" hidden="1">Sheet1!#REF!</definedName>
    <definedName name="QB_ROW_145310" localSheetId="0" hidden="1">Sheet1!#REF!</definedName>
    <definedName name="QB_ROW_148010" localSheetId="0" hidden="1">Sheet1!#REF!</definedName>
    <definedName name="QB_ROW_148310" localSheetId="0" hidden="1">Sheet1!#REF!</definedName>
    <definedName name="QB_ROW_149010" localSheetId="0" hidden="1">Sheet1!#REF!</definedName>
    <definedName name="QB_ROW_149310" localSheetId="0" hidden="1">Sheet1!#REF!</definedName>
    <definedName name="QB_ROW_150010" localSheetId="0" hidden="1">Sheet1!#REF!</definedName>
    <definedName name="QB_ROW_15010" localSheetId="0" hidden="1">Sheet1!#REF!</definedName>
    <definedName name="QB_ROW_150310" localSheetId="0" hidden="1">Sheet1!#REF!</definedName>
    <definedName name="QB_ROW_151010" localSheetId="0" hidden="1">Sheet1!#REF!</definedName>
    <definedName name="QB_ROW_151310" localSheetId="0" hidden="1">Sheet1!#REF!</definedName>
    <definedName name="QB_ROW_153010" localSheetId="0" hidden="1">Sheet1!#REF!</definedName>
    <definedName name="QB_ROW_15310" localSheetId="0" hidden="1">Sheet1!#REF!</definedName>
    <definedName name="QB_ROW_153310" localSheetId="0" hidden="1">Sheet1!#REF!</definedName>
    <definedName name="QB_ROW_154010" localSheetId="0" hidden="1">Sheet1!#REF!</definedName>
    <definedName name="QB_ROW_154310" localSheetId="0" hidden="1">Sheet1!#REF!</definedName>
    <definedName name="QB_ROW_155010" localSheetId="0" hidden="1">Sheet1!#REF!</definedName>
    <definedName name="QB_ROW_155310" localSheetId="0" hidden="1">Sheet1!#REF!</definedName>
    <definedName name="QB_ROW_156010" localSheetId="0" hidden="1">Sheet1!#REF!</definedName>
    <definedName name="QB_ROW_156310" localSheetId="0" hidden="1">Sheet1!#REF!</definedName>
    <definedName name="QB_ROW_157010" localSheetId="0" hidden="1">Sheet1!#REF!</definedName>
    <definedName name="QB_ROW_157310" localSheetId="0" hidden="1">Sheet1!#REF!</definedName>
    <definedName name="QB_ROW_158010" localSheetId="0" hidden="1">Sheet1!#REF!</definedName>
    <definedName name="QB_ROW_158310" localSheetId="0" hidden="1">Sheet1!#REF!</definedName>
    <definedName name="QB_ROW_159010" localSheetId="0" hidden="1">Sheet1!#REF!</definedName>
    <definedName name="QB_ROW_159310" localSheetId="0" hidden="1">Sheet1!#REF!</definedName>
    <definedName name="QB_ROW_160010" localSheetId="0" hidden="1">Sheet1!#REF!</definedName>
    <definedName name="QB_ROW_16010" localSheetId="0" hidden="1">Sheet1!#REF!</definedName>
    <definedName name="QB_ROW_160310" localSheetId="0" hidden="1">Sheet1!#REF!</definedName>
    <definedName name="QB_ROW_161010" localSheetId="0" hidden="1">Sheet1!#REF!</definedName>
    <definedName name="QB_ROW_161310" localSheetId="0" hidden="1">Sheet1!#REF!</definedName>
    <definedName name="QB_ROW_162010" localSheetId="0" hidden="1">Sheet1!#REF!</definedName>
    <definedName name="QB_ROW_162310" localSheetId="0" hidden="1">Sheet1!#REF!</definedName>
    <definedName name="QB_ROW_163010" localSheetId="0" hidden="1">Sheet1!#REF!</definedName>
    <definedName name="QB_ROW_16310" localSheetId="0" hidden="1">Sheet1!#REF!</definedName>
    <definedName name="QB_ROW_163310" localSheetId="0" hidden="1">Sheet1!#REF!</definedName>
    <definedName name="QB_ROW_164010" localSheetId="0" hidden="1">Sheet1!#REF!</definedName>
    <definedName name="QB_ROW_164310" localSheetId="0" hidden="1">Sheet1!#REF!</definedName>
    <definedName name="QB_ROW_165010" localSheetId="0" hidden="1">Sheet1!#REF!</definedName>
    <definedName name="QB_ROW_165310" localSheetId="0" hidden="1">Sheet1!#REF!</definedName>
    <definedName name="QB_ROW_166010" localSheetId="0" hidden="1">Sheet1!#REF!</definedName>
    <definedName name="QB_ROW_166310" localSheetId="0" hidden="1">Sheet1!#REF!</definedName>
    <definedName name="QB_ROW_169010" localSheetId="0" hidden="1">Sheet1!#REF!</definedName>
    <definedName name="QB_ROW_169310" localSheetId="0" hidden="1">Sheet1!#REF!</definedName>
    <definedName name="QB_ROW_170010" localSheetId="0" hidden="1">Sheet1!#REF!</definedName>
    <definedName name="QB_ROW_17010" localSheetId="0" hidden="1">Sheet1!#REF!</definedName>
    <definedName name="QB_ROW_170310" localSheetId="0" hidden="1">Sheet1!#REF!</definedName>
    <definedName name="QB_ROW_171010" localSheetId="0" hidden="1">Sheet1!#REF!</definedName>
    <definedName name="QB_ROW_171310" localSheetId="0" hidden="1">Sheet1!#REF!</definedName>
    <definedName name="QB_ROW_172010" localSheetId="0" hidden="1">Sheet1!#REF!</definedName>
    <definedName name="QB_ROW_172310" localSheetId="0" hidden="1">Sheet1!#REF!</definedName>
    <definedName name="QB_ROW_173010" localSheetId="0" hidden="1">Sheet1!#REF!</definedName>
    <definedName name="QB_ROW_17310" localSheetId="0" hidden="1">Sheet1!#REF!</definedName>
    <definedName name="QB_ROW_173310" localSheetId="0" hidden="1">Sheet1!#REF!</definedName>
    <definedName name="QB_ROW_174010" localSheetId="0" hidden="1">Sheet1!#REF!</definedName>
    <definedName name="QB_ROW_174310" localSheetId="0" hidden="1">Sheet1!#REF!</definedName>
    <definedName name="QB_ROW_175010" localSheetId="0" hidden="1">Sheet1!#REF!</definedName>
    <definedName name="QB_ROW_175310" localSheetId="0" hidden="1">Sheet1!#REF!</definedName>
    <definedName name="QB_ROW_176010" localSheetId="0" hidden="1">Sheet1!#REF!</definedName>
    <definedName name="QB_ROW_176310" localSheetId="0" hidden="1">Sheet1!#REF!</definedName>
    <definedName name="QB_ROW_177010" localSheetId="0" hidden="1">Sheet1!#REF!</definedName>
    <definedName name="QB_ROW_177310" localSheetId="0" hidden="1">Sheet1!#REF!</definedName>
    <definedName name="QB_ROW_178010" localSheetId="0" hidden="1">Sheet1!#REF!</definedName>
    <definedName name="QB_ROW_178310" localSheetId="0" hidden="1">Sheet1!#REF!</definedName>
    <definedName name="QB_ROW_179010" localSheetId="0" hidden="1">Sheet1!#REF!</definedName>
    <definedName name="QB_ROW_179310" localSheetId="0" hidden="1">Sheet1!#REF!</definedName>
    <definedName name="QB_ROW_180010" localSheetId="0" hidden="1">Sheet1!#REF!</definedName>
    <definedName name="QB_ROW_18010" localSheetId="0" hidden="1">Sheet1!#REF!</definedName>
    <definedName name="QB_ROW_180310" localSheetId="0" hidden="1">Sheet1!#REF!</definedName>
    <definedName name="QB_ROW_181010" localSheetId="0" hidden="1">Sheet1!#REF!</definedName>
    <definedName name="QB_ROW_181310" localSheetId="0" hidden="1">Sheet1!#REF!</definedName>
    <definedName name="QB_ROW_182010" localSheetId="0" hidden="1">Sheet1!#REF!</definedName>
    <definedName name="QB_ROW_182310" localSheetId="0" hidden="1">Sheet1!#REF!</definedName>
    <definedName name="QB_ROW_183010" localSheetId="0" hidden="1">Sheet1!#REF!</definedName>
    <definedName name="QB_ROW_18310" localSheetId="0" hidden="1">Sheet1!#REF!</definedName>
    <definedName name="QB_ROW_183310" localSheetId="0" hidden="1">Sheet1!#REF!</definedName>
    <definedName name="QB_ROW_184010" localSheetId="0" hidden="1">Sheet1!#REF!</definedName>
    <definedName name="QB_ROW_184310" localSheetId="0" hidden="1">Sheet1!#REF!</definedName>
    <definedName name="QB_ROW_185010" localSheetId="0" hidden="1">Sheet1!#REF!</definedName>
    <definedName name="QB_ROW_185310" localSheetId="0" hidden="1">Sheet1!#REF!</definedName>
    <definedName name="QB_ROW_187010" localSheetId="0" hidden="1">Sheet1!#REF!</definedName>
    <definedName name="QB_ROW_187310" localSheetId="0" hidden="1">Sheet1!#REF!</definedName>
    <definedName name="QB_ROW_188010" localSheetId="0" hidden="1">Sheet1!#REF!</definedName>
    <definedName name="QB_ROW_188310" localSheetId="0" hidden="1">Sheet1!#REF!</definedName>
    <definedName name="QB_ROW_189010" localSheetId="0" hidden="1">Sheet1!#REF!</definedName>
    <definedName name="QB_ROW_189310" localSheetId="0" hidden="1">Sheet1!#REF!</definedName>
    <definedName name="QB_ROW_190010" localSheetId="0" hidden="1">Sheet1!#REF!</definedName>
    <definedName name="QB_ROW_19010" localSheetId="0" hidden="1">Sheet1!#REF!</definedName>
    <definedName name="QB_ROW_190310" localSheetId="0" hidden="1">Sheet1!#REF!</definedName>
    <definedName name="QB_ROW_191010" localSheetId="0" hidden="1">Sheet1!#REF!</definedName>
    <definedName name="QB_ROW_191310" localSheetId="0" hidden="1">Sheet1!#REF!</definedName>
    <definedName name="QB_ROW_192010" localSheetId="0" hidden="1">Sheet1!#REF!</definedName>
    <definedName name="QB_ROW_192310" localSheetId="0" hidden="1">Sheet1!#REF!</definedName>
    <definedName name="QB_ROW_193010" localSheetId="0" hidden="1">Sheet1!#REF!</definedName>
    <definedName name="QB_ROW_19310" localSheetId="0" hidden="1">Sheet1!#REF!</definedName>
    <definedName name="QB_ROW_193310" localSheetId="0" hidden="1">Sheet1!#REF!</definedName>
    <definedName name="QB_ROW_194010" localSheetId="0" hidden="1">Sheet1!#REF!</definedName>
    <definedName name="QB_ROW_194310" localSheetId="0" hidden="1">Sheet1!#REF!</definedName>
    <definedName name="QB_ROW_195010" localSheetId="0" hidden="1">Sheet1!#REF!</definedName>
    <definedName name="QB_ROW_195310" localSheetId="0" hidden="1">Sheet1!#REF!</definedName>
    <definedName name="QB_ROW_196010" localSheetId="0" hidden="1">Sheet1!#REF!</definedName>
    <definedName name="QB_ROW_196310" localSheetId="0" hidden="1">Sheet1!#REF!</definedName>
    <definedName name="QB_ROW_197010" localSheetId="0" hidden="1">Sheet1!#REF!</definedName>
    <definedName name="QB_ROW_197310" localSheetId="0" hidden="1">Sheet1!#REF!</definedName>
    <definedName name="QB_ROW_198010" localSheetId="0" hidden="1">Sheet1!#REF!</definedName>
    <definedName name="QB_ROW_198310" localSheetId="0" hidden="1">Sheet1!#REF!</definedName>
    <definedName name="QB_ROW_199010" localSheetId="0" hidden="1">Sheet1!#REF!</definedName>
    <definedName name="QB_ROW_199310" localSheetId="0" hidden="1">Sheet1!#REF!</definedName>
    <definedName name="QB_ROW_200010" localSheetId="0" hidden="1">Sheet1!#REF!</definedName>
    <definedName name="QB_ROW_20010" localSheetId="0" hidden="1">Sheet1!#REF!</definedName>
    <definedName name="QB_ROW_200310" localSheetId="0" hidden="1">Sheet1!#REF!</definedName>
    <definedName name="QB_ROW_2010" localSheetId="0" hidden="1">Sheet1!#REF!</definedName>
    <definedName name="QB_ROW_201010" localSheetId="0" hidden="1">Sheet1!#REF!</definedName>
    <definedName name="QB_ROW_201310" localSheetId="0" hidden="1">Sheet1!#REF!</definedName>
    <definedName name="QB_ROW_202010" localSheetId="0" hidden="1">Sheet1!#REF!</definedName>
    <definedName name="QB_ROW_202310" localSheetId="0" hidden="1">Sheet1!#REF!</definedName>
    <definedName name="QB_ROW_203010" localSheetId="0" hidden="1">Sheet1!#REF!</definedName>
    <definedName name="QB_ROW_20310" localSheetId="0" hidden="1">Sheet1!#REF!</definedName>
    <definedName name="QB_ROW_203310" localSheetId="0" hidden="1">Sheet1!#REF!</definedName>
    <definedName name="QB_ROW_206010" localSheetId="0" hidden="1">Sheet1!#REF!</definedName>
    <definedName name="QB_ROW_206310" localSheetId="0" hidden="1">Sheet1!#REF!</definedName>
    <definedName name="QB_ROW_208010" localSheetId="0" hidden="1">Sheet1!#REF!</definedName>
    <definedName name="QB_ROW_208310" localSheetId="0" hidden="1">Sheet1!#REF!</definedName>
    <definedName name="QB_ROW_209010" localSheetId="0" hidden="1">Sheet1!#REF!</definedName>
    <definedName name="QB_ROW_209310" localSheetId="0" hidden="1">Sheet1!#REF!</definedName>
    <definedName name="QB_ROW_21010" localSheetId="0" hidden="1">Sheet1!#REF!</definedName>
    <definedName name="QB_ROW_211010" localSheetId="0" hidden="1">Sheet1!#REF!</definedName>
    <definedName name="QB_ROW_211310" localSheetId="0" hidden="1">Sheet1!#REF!</definedName>
    <definedName name="QB_ROW_212010" localSheetId="0" hidden="1">Sheet1!#REF!</definedName>
    <definedName name="QB_ROW_212310" localSheetId="0" hidden="1">Sheet1!#REF!</definedName>
    <definedName name="QB_ROW_213010" localSheetId="0" hidden="1">Sheet1!#REF!</definedName>
    <definedName name="QB_ROW_21310" localSheetId="0" hidden="1">Sheet1!#REF!</definedName>
    <definedName name="QB_ROW_213310" localSheetId="0" hidden="1">Sheet1!#REF!</definedName>
    <definedName name="QB_ROW_214010" localSheetId="0" hidden="1">Sheet1!#REF!</definedName>
    <definedName name="QB_ROW_214310" localSheetId="0" hidden="1">Sheet1!#REF!</definedName>
    <definedName name="QB_ROW_215010" localSheetId="0" hidden="1">Sheet1!#REF!</definedName>
    <definedName name="QB_ROW_215310" localSheetId="0" hidden="1">Sheet1!#REF!</definedName>
    <definedName name="QB_ROW_216010" localSheetId="0" hidden="1">Sheet1!#REF!</definedName>
    <definedName name="QB_ROW_216310" localSheetId="0" hidden="1">Sheet1!#REF!</definedName>
    <definedName name="QB_ROW_217010" localSheetId="0" hidden="1">Sheet1!#REF!</definedName>
    <definedName name="QB_ROW_217310" localSheetId="0" hidden="1">Sheet1!#REF!</definedName>
    <definedName name="QB_ROW_218010" localSheetId="0" hidden="1">Sheet1!#REF!</definedName>
    <definedName name="QB_ROW_218310" localSheetId="0" hidden="1">Sheet1!#REF!</definedName>
    <definedName name="QB_ROW_219010" localSheetId="0" hidden="1">Sheet1!#REF!</definedName>
    <definedName name="QB_ROW_219310" localSheetId="0" hidden="1">Sheet1!#REF!</definedName>
    <definedName name="QB_ROW_220010" localSheetId="0" hidden="1">Sheet1!#REF!</definedName>
    <definedName name="QB_ROW_22010" localSheetId="0" hidden="1">Sheet1!#REF!</definedName>
    <definedName name="QB_ROW_220310" localSheetId="0" hidden="1">Sheet1!#REF!</definedName>
    <definedName name="QB_ROW_221010" localSheetId="0" hidden="1">Sheet1!#REF!</definedName>
    <definedName name="QB_ROW_221310" localSheetId="0" hidden="1">Sheet1!#REF!</definedName>
    <definedName name="QB_ROW_222010" localSheetId="0" hidden="1">Sheet1!#REF!</definedName>
    <definedName name="QB_ROW_222310" localSheetId="0" hidden="1">Sheet1!#REF!</definedName>
    <definedName name="QB_ROW_223010" localSheetId="0" hidden="1">Sheet1!#REF!</definedName>
    <definedName name="QB_ROW_22310" localSheetId="0" hidden="1">Sheet1!#REF!</definedName>
    <definedName name="QB_ROW_223310" localSheetId="0" hidden="1">Sheet1!#REF!</definedName>
    <definedName name="QB_ROW_224010" localSheetId="0" hidden="1">Sheet1!#REF!</definedName>
    <definedName name="QB_ROW_224310" localSheetId="0" hidden="1">Sheet1!#REF!</definedName>
    <definedName name="QB_ROW_225010" localSheetId="0" hidden="1">Sheet1!#REF!</definedName>
    <definedName name="QB_ROW_225310" localSheetId="0" hidden="1">Sheet1!#REF!</definedName>
    <definedName name="QB_ROW_226010" localSheetId="0" hidden="1">Sheet1!#REF!</definedName>
    <definedName name="QB_ROW_226310" localSheetId="0" hidden="1">Sheet1!#REF!</definedName>
    <definedName name="QB_ROW_227010" localSheetId="0" hidden="1">Sheet1!#REF!</definedName>
    <definedName name="QB_ROW_227310" localSheetId="0" hidden="1">Sheet1!#REF!</definedName>
    <definedName name="QB_ROW_228010" localSheetId="0" hidden="1">Sheet1!#REF!</definedName>
    <definedName name="QB_ROW_228310" localSheetId="0" hidden="1">Sheet1!#REF!</definedName>
    <definedName name="QB_ROW_229010" localSheetId="0" hidden="1">Sheet1!#REF!</definedName>
    <definedName name="QB_ROW_229310" localSheetId="0" hidden="1">Sheet1!#REF!</definedName>
    <definedName name="QB_ROW_230010" localSheetId="0" hidden="1">Sheet1!#REF!</definedName>
    <definedName name="QB_ROW_23010" localSheetId="0" hidden="1">Sheet1!#REF!</definedName>
    <definedName name="QB_ROW_230310" localSheetId="0" hidden="1">Sheet1!#REF!</definedName>
    <definedName name="QB_ROW_2310" localSheetId="0" hidden="1">Sheet1!#REF!</definedName>
    <definedName name="QB_ROW_231010" localSheetId="0" hidden="1">Sheet1!#REF!</definedName>
    <definedName name="QB_ROW_231310" localSheetId="0" hidden="1">Sheet1!#REF!</definedName>
    <definedName name="QB_ROW_232010" localSheetId="0" hidden="1">Sheet1!#REF!</definedName>
    <definedName name="QB_ROW_232310" localSheetId="0" hidden="1">Sheet1!#REF!</definedName>
    <definedName name="QB_ROW_23310" localSheetId="0" hidden="1">Sheet1!#REF!</definedName>
    <definedName name="QB_ROW_234010" localSheetId="0" hidden="1">Sheet1!#REF!</definedName>
    <definedName name="QB_ROW_234310" localSheetId="0" hidden="1">Sheet1!#REF!</definedName>
    <definedName name="QB_ROW_235010" localSheetId="0" hidden="1">Sheet1!#REF!</definedName>
    <definedName name="QB_ROW_235310" localSheetId="0" hidden="1">Sheet1!#REF!</definedName>
    <definedName name="QB_ROW_236010" localSheetId="0" hidden="1">Sheet1!#REF!</definedName>
    <definedName name="QB_ROW_236310" localSheetId="0" hidden="1">Sheet1!#REF!</definedName>
    <definedName name="QB_ROW_237010" localSheetId="0" hidden="1">Sheet1!#REF!</definedName>
    <definedName name="QB_ROW_237310" localSheetId="0" hidden="1">Sheet1!#REF!</definedName>
    <definedName name="QB_ROW_238010" localSheetId="0" hidden="1">Sheet1!#REF!</definedName>
    <definedName name="QB_ROW_238310" localSheetId="0" hidden="1">Sheet1!#REF!</definedName>
    <definedName name="QB_ROW_239010" localSheetId="0" hidden="1">Sheet1!#REF!</definedName>
    <definedName name="QB_ROW_239310" localSheetId="0" hidden="1">Sheet1!#REF!</definedName>
    <definedName name="QB_ROW_240010" localSheetId="0" hidden="1">Sheet1!#REF!</definedName>
    <definedName name="QB_ROW_24010" localSheetId="0" hidden="1">Sheet1!#REF!</definedName>
    <definedName name="QB_ROW_240310" localSheetId="0" hidden="1">Sheet1!#REF!</definedName>
    <definedName name="QB_ROW_241010" localSheetId="0" hidden="1">Sheet1!#REF!</definedName>
    <definedName name="QB_ROW_241310" localSheetId="0" hidden="1">Sheet1!#REF!</definedName>
    <definedName name="QB_ROW_242010" localSheetId="0" hidden="1">Sheet1!#REF!</definedName>
    <definedName name="QB_ROW_242310" localSheetId="0" hidden="1">Sheet1!#REF!</definedName>
    <definedName name="QB_ROW_243010" localSheetId="0" hidden="1">Sheet1!#REF!</definedName>
    <definedName name="QB_ROW_24310" localSheetId="0" hidden="1">Sheet1!#REF!</definedName>
    <definedName name="QB_ROW_243310" localSheetId="0" hidden="1">Sheet1!#REF!</definedName>
    <definedName name="QB_ROW_244010" localSheetId="0" hidden="1">Sheet1!#REF!</definedName>
    <definedName name="QB_ROW_244310" localSheetId="0" hidden="1">Sheet1!#REF!</definedName>
    <definedName name="QB_ROW_245010" localSheetId="0" hidden="1">Sheet1!#REF!</definedName>
    <definedName name="QB_ROW_245310" localSheetId="0" hidden="1">Sheet1!#REF!</definedName>
    <definedName name="QB_ROW_246010" localSheetId="0" hidden="1">Sheet1!#REF!</definedName>
    <definedName name="QB_ROW_246310" localSheetId="0" hidden="1">Sheet1!#REF!</definedName>
    <definedName name="QB_ROW_247010" localSheetId="0" hidden="1">Sheet1!#REF!</definedName>
    <definedName name="QB_ROW_247310" localSheetId="0" hidden="1">Sheet1!#REF!</definedName>
    <definedName name="QB_ROW_248010" localSheetId="0" hidden="1">Sheet1!#REF!</definedName>
    <definedName name="QB_ROW_248310" localSheetId="0" hidden="1">Sheet1!#REF!</definedName>
    <definedName name="QB_ROW_249010" localSheetId="0" hidden="1">Sheet1!#REF!</definedName>
    <definedName name="QB_ROW_249310" localSheetId="0" hidden="1">Sheet1!#REF!</definedName>
    <definedName name="QB_ROW_250010" localSheetId="0" hidden="1">Sheet1!#REF!</definedName>
    <definedName name="QB_ROW_25010" localSheetId="0" hidden="1">Sheet1!#REF!</definedName>
    <definedName name="QB_ROW_250310" localSheetId="0" hidden="1">Sheet1!#REF!</definedName>
    <definedName name="QB_ROW_251010" localSheetId="0" hidden="1">Sheet1!#REF!</definedName>
    <definedName name="QB_ROW_251310" localSheetId="0" hidden="1">Sheet1!#REF!</definedName>
    <definedName name="QB_ROW_252010" localSheetId="0" hidden="1">Sheet1!#REF!</definedName>
    <definedName name="QB_ROW_252310" localSheetId="0" hidden="1">Sheet1!#REF!</definedName>
    <definedName name="QB_ROW_253010" localSheetId="0" hidden="1">Sheet1!#REF!</definedName>
    <definedName name="QB_ROW_25310" localSheetId="0" hidden="1">Sheet1!#REF!</definedName>
    <definedName name="QB_ROW_253310" localSheetId="0" hidden="1">Sheet1!#REF!</definedName>
    <definedName name="QB_ROW_254010" localSheetId="0" hidden="1">Sheet1!#REF!</definedName>
    <definedName name="QB_ROW_254310" localSheetId="0" hidden="1">Sheet1!#REF!</definedName>
    <definedName name="QB_ROW_255010" localSheetId="0" hidden="1">Sheet1!#REF!</definedName>
    <definedName name="QB_ROW_255310" localSheetId="0" hidden="1">Sheet1!#REF!</definedName>
    <definedName name="QB_ROW_256010" localSheetId="0" hidden="1">Sheet1!#REF!</definedName>
    <definedName name="QB_ROW_256310" localSheetId="0" hidden="1">Sheet1!#REF!</definedName>
    <definedName name="QB_ROW_257010" localSheetId="0" hidden="1">Sheet1!#REF!</definedName>
    <definedName name="QB_ROW_257310" localSheetId="0" hidden="1">Sheet1!#REF!</definedName>
    <definedName name="QB_ROW_258010" localSheetId="0" hidden="1">Sheet1!#REF!</definedName>
    <definedName name="QB_ROW_258310" localSheetId="0" hidden="1">Sheet1!#REF!</definedName>
    <definedName name="QB_ROW_259010" localSheetId="0" hidden="1">Sheet1!#REF!</definedName>
    <definedName name="QB_ROW_259310" localSheetId="0" hidden="1">Sheet1!#REF!</definedName>
    <definedName name="QB_ROW_260010" localSheetId="0" hidden="1">Sheet1!#REF!</definedName>
    <definedName name="QB_ROW_26010" localSheetId="0" hidden="1">Sheet1!#REF!</definedName>
    <definedName name="QB_ROW_260310" localSheetId="0" hidden="1">Sheet1!#REF!</definedName>
    <definedName name="QB_ROW_261010" localSheetId="0" hidden="1">Sheet1!#REF!</definedName>
    <definedName name="QB_ROW_261310" localSheetId="0" hidden="1">Sheet1!#REF!</definedName>
    <definedName name="QB_ROW_262010" localSheetId="0" hidden="1">Sheet1!#REF!</definedName>
    <definedName name="QB_ROW_262310" localSheetId="0" hidden="1">Sheet1!#REF!</definedName>
    <definedName name="QB_ROW_263010" localSheetId="0" hidden="1">Sheet1!#REF!</definedName>
    <definedName name="QB_ROW_26310" localSheetId="0" hidden="1">Sheet1!#REF!</definedName>
    <definedName name="QB_ROW_263310" localSheetId="0" hidden="1">Sheet1!#REF!</definedName>
    <definedName name="QB_ROW_264010" localSheetId="0" hidden="1">Sheet1!#REF!</definedName>
    <definedName name="QB_ROW_264310" localSheetId="0" hidden="1">Sheet1!#REF!</definedName>
    <definedName name="QB_ROW_265010" localSheetId="0" hidden="1">Sheet1!#REF!</definedName>
    <definedName name="QB_ROW_265310" localSheetId="0" hidden="1">Sheet1!#REF!</definedName>
    <definedName name="QB_ROW_266010" localSheetId="0" hidden="1">Sheet1!#REF!</definedName>
    <definedName name="QB_ROW_266310" localSheetId="0" hidden="1">Sheet1!#REF!</definedName>
    <definedName name="QB_ROW_267010" localSheetId="0" hidden="1">Sheet1!#REF!</definedName>
    <definedName name="QB_ROW_267310" localSheetId="0" hidden="1">Sheet1!#REF!</definedName>
    <definedName name="QB_ROW_268010" localSheetId="0" hidden="1">Sheet1!#REF!</definedName>
    <definedName name="QB_ROW_268310" localSheetId="0" hidden="1">Sheet1!#REF!</definedName>
    <definedName name="QB_ROW_269010" localSheetId="0" hidden="1">Sheet1!#REF!</definedName>
    <definedName name="QB_ROW_269310" localSheetId="0" hidden="1">Sheet1!#REF!</definedName>
    <definedName name="QB_ROW_270010" localSheetId="0" hidden="1">Sheet1!#REF!</definedName>
    <definedName name="QB_ROW_27010" localSheetId="0" hidden="1">Sheet1!#REF!</definedName>
    <definedName name="QB_ROW_270310" localSheetId="0" hidden="1">Sheet1!#REF!</definedName>
    <definedName name="QB_ROW_271010" localSheetId="0" hidden="1">Sheet1!#REF!</definedName>
    <definedName name="QB_ROW_271310" localSheetId="0" hidden="1">Sheet1!#REF!</definedName>
    <definedName name="QB_ROW_272010" localSheetId="0" hidden="1">Sheet1!#REF!</definedName>
    <definedName name="QB_ROW_272310" localSheetId="0" hidden="1">Sheet1!#REF!</definedName>
    <definedName name="QB_ROW_273010" localSheetId="0" hidden="1">Sheet1!#REF!</definedName>
    <definedName name="QB_ROW_27310" localSheetId="0" hidden="1">Sheet1!#REF!</definedName>
    <definedName name="QB_ROW_273310" localSheetId="0" hidden="1">Sheet1!#REF!</definedName>
    <definedName name="QB_ROW_274010" localSheetId="0" hidden="1">Sheet1!#REF!</definedName>
    <definedName name="QB_ROW_274310" localSheetId="0" hidden="1">Sheet1!#REF!</definedName>
    <definedName name="QB_ROW_275010" localSheetId="0" hidden="1">Sheet1!#REF!</definedName>
    <definedName name="QB_ROW_275310" localSheetId="0" hidden="1">Sheet1!#REF!</definedName>
    <definedName name="QB_ROW_276010" localSheetId="0" hidden="1">Sheet1!#REF!</definedName>
    <definedName name="QB_ROW_276310" localSheetId="0" hidden="1">Sheet1!#REF!</definedName>
    <definedName name="QB_ROW_277010" localSheetId="0" hidden="1">Sheet1!#REF!</definedName>
    <definedName name="QB_ROW_277310" localSheetId="0" hidden="1">Sheet1!#REF!</definedName>
    <definedName name="QB_ROW_278010" localSheetId="0" hidden="1">Sheet1!#REF!</definedName>
    <definedName name="QB_ROW_278310" localSheetId="0" hidden="1">Sheet1!#REF!</definedName>
    <definedName name="QB_ROW_279010" localSheetId="0" hidden="1">Sheet1!#REF!</definedName>
    <definedName name="QB_ROW_279310" localSheetId="0" hidden="1">Sheet1!#REF!</definedName>
    <definedName name="QB_ROW_280010" localSheetId="0" hidden="1">Sheet1!#REF!</definedName>
    <definedName name="QB_ROW_28010" localSheetId="0" hidden="1">Sheet1!#REF!</definedName>
    <definedName name="QB_ROW_280310" localSheetId="0" hidden="1">Sheet1!#REF!</definedName>
    <definedName name="QB_ROW_281010" localSheetId="0" hidden="1">Sheet1!#REF!</definedName>
    <definedName name="QB_ROW_281310" localSheetId="0" hidden="1">Sheet1!#REF!</definedName>
    <definedName name="QB_ROW_282010" localSheetId="0" hidden="1">Sheet1!#REF!</definedName>
    <definedName name="QB_ROW_282310" localSheetId="0" hidden="1">Sheet1!#REF!</definedName>
    <definedName name="QB_ROW_283010" localSheetId="0" hidden="1">Sheet1!#REF!</definedName>
    <definedName name="QB_ROW_28310" localSheetId="0" hidden="1">Sheet1!#REF!</definedName>
    <definedName name="QB_ROW_283310" localSheetId="0" hidden="1">Sheet1!#REF!</definedName>
    <definedName name="QB_ROW_284010" localSheetId="0" hidden="1">Sheet1!#REF!</definedName>
    <definedName name="QB_ROW_284310" localSheetId="0" hidden="1">Sheet1!#REF!</definedName>
    <definedName name="QB_ROW_285010" localSheetId="0" hidden="1">Sheet1!#REF!</definedName>
    <definedName name="QB_ROW_285310" localSheetId="0" hidden="1">Sheet1!#REF!</definedName>
    <definedName name="QB_ROW_286010" localSheetId="0" hidden="1">Sheet1!#REF!</definedName>
    <definedName name="QB_ROW_286310" localSheetId="0" hidden="1">Sheet1!#REF!</definedName>
    <definedName name="QB_ROW_287010" localSheetId="0" hidden="1">Sheet1!#REF!</definedName>
    <definedName name="QB_ROW_287310" localSheetId="0" hidden="1">Sheet1!#REF!</definedName>
    <definedName name="QB_ROW_288010" localSheetId="0" hidden="1">Sheet1!#REF!</definedName>
    <definedName name="QB_ROW_288310" localSheetId="0" hidden="1">Sheet1!#REF!</definedName>
    <definedName name="QB_ROW_289010" localSheetId="0" hidden="1">Sheet1!#REF!</definedName>
    <definedName name="QB_ROW_289310" localSheetId="0" hidden="1">Sheet1!#REF!</definedName>
    <definedName name="QB_ROW_290010" localSheetId="0" hidden="1">Sheet1!#REF!</definedName>
    <definedName name="QB_ROW_290310" localSheetId="0" hidden="1">Sheet1!#REF!</definedName>
    <definedName name="QB_ROW_291010" localSheetId="0" hidden="1">Sheet1!#REF!</definedName>
    <definedName name="QB_ROW_291310" localSheetId="0" hidden="1">Sheet1!#REF!</definedName>
    <definedName name="QB_ROW_294010" localSheetId="0" hidden="1">Sheet1!#REF!</definedName>
    <definedName name="QB_ROW_294310" localSheetId="0" hidden="1">Sheet1!#REF!</definedName>
    <definedName name="QB_ROW_295010" localSheetId="0" hidden="1">Sheet1!#REF!</definedName>
    <definedName name="QB_ROW_295310" localSheetId="0" hidden="1">Sheet1!#REF!</definedName>
    <definedName name="QB_ROW_296010" localSheetId="0" hidden="1">Sheet1!#REF!</definedName>
    <definedName name="QB_ROW_296310" localSheetId="0" hidden="1">Sheet1!#REF!</definedName>
    <definedName name="QB_ROW_297010" localSheetId="0" hidden="1">Sheet1!#REF!</definedName>
    <definedName name="QB_ROW_297310" localSheetId="0" hidden="1">Sheet1!#REF!</definedName>
    <definedName name="QB_ROW_299010" localSheetId="0" hidden="1">Sheet1!#REF!</definedName>
    <definedName name="QB_ROW_299310" localSheetId="0" hidden="1">Sheet1!#REF!</definedName>
    <definedName name="QB_ROW_30010" localSheetId="0" hidden="1">Sheet1!#REF!</definedName>
    <definedName name="QB_ROW_3010" localSheetId="0" hidden="1">Sheet1!#REF!</definedName>
    <definedName name="QB_ROW_301010" localSheetId="0" hidden="1">Sheet1!#REF!</definedName>
    <definedName name="QB_ROW_301310" localSheetId="0" hidden="1">Sheet1!#REF!</definedName>
    <definedName name="QB_ROW_303010" localSheetId="0" hidden="1">Sheet1!#REF!</definedName>
    <definedName name="QB_ROW_30310" localSheetId="0" hidden="1">Sheet1!#REF!</definedName>
    <definedName name="QB_ROW_303310" localSheetId="0" hidden="1">Sheet1!#REF!</definedName>
    <definedName name="QB_ROW_304010" localSheetId="0" hidden="1">Sheet1!#REF!</definedName>
    <definedName name="QB_ROW_304310" localSheetId="0" hidden="1">Sheet1!#REF!</definedName>
    <definedName name="QB_ROW_31010" localSheetId="0" hidden="1">Sheet1!#REF!</definedName>
    <definedName name="QB_ROW_31301" localSheetId="0" hidden="1">Sheet1!$A$1067</definedName>
    <definedName name="QB_ROW_31310" localSheetId="0" hidden="1">Sheet1!#REF!</definedName>
    <definedName name="QB_ROW_315010" localSheetId="0" hidden="1">Sheet1!#REF!</definedName>
    <definedName name="QB_ROW_315310" localSheetId="0" hidden="1">Sheet1!#REF!</definedName>
    <definedName name="QB_ROW_316010" localSheetId="0" hidden="1">Sheet1!#REF!</definedName>
    <definedName name="QB_ROW_316310" localSheetId="0" hidden="1">Sheet1!#REF!</definedName>
    <definedName name="QB_ROW_317010" localSheetId="0" hidden="1">Sheet1!#REF!</definedName>
    <definedName name="QB_ROW_317310" localSheetId="0" hidden="1">Sheet1!#REF!</definedName>
    <definedName name="QB_ROW_318010" localSheetId="0" hidden="1">Sheet1!#REF!</definedName>
    <definedName name="QB_ROW_318310" localSheetId="0" hidden="1">Sheet1!#REF!</definedName>
    <definedName name="QB_ROW_319010" localSheetId="0" hidden="1">Sheet1!#REF!</definedName>
    <definedName name="QB_ROW_319310" localSheetId="0" hidden="1">Sheet1!#REF!</definedName>
    <definedName name="QB_ROW_320010" localSheetId="0" hidden="1">Sheet1!#REF!</definedName>
    <definedName name="QB_ROW_32010" localSheetId="0" hidden="1">Sheet1!#REF!</definedName>
    <definedName name="QB_ROW_320310" localSheetId="0" hidden="1">Sheet1!#REF!</definedName>
    <definedName name="QB_ROW_321010" localSheetId="0" hidden="1">Sheet1!#REF!</definedName>
    <definedName name="QB_ROW_321310" localSheetId="0" hidden="1">Sheet1!#REF!</definedName>
    <definedName name="QB_ROW_323010" localSheetId="0" hidden="1">Sheet1!#REF!</definedName>
    <definedName name="QB_ROW_32310" localSheetId="0" hidden="1">Sheet1!#REF!</definedName>
    <definedName name="QB_ROW_323310" localSheetId="0" hidden="1">Sheet1!#REF!</definedName>
    <definedName name="QB_ROW_324010" localSheetId="0" hidden="1">Sheet1!#REF!</definedName>
    <definedName name="QB_ROW_324310" localSheetId="0" hidden="1">Sheet1!#REF!</definedName>
    <definedName name="QB_ROW_325010" localSheetId="0" hidden="1">Sheet1!#REF!</definedName>
    <definedName name="QB_ROW_325310" localSheetId="0" hidden="1">Sheet1!#REF!</definedName>
    <definedName name="QB_ROW_326010" localSheetId="0" hidden="1">Sheet1!#REF!</definedName>
    <definedName name="QB_ROW_326310" localSheetId="0" hidden="1">Sheet1!#REF!</definedName>
    <definedName name="QB_ROW_327010" localSheetId="0" hidden="1">Sheet1!#REF!</definedName>
    <definedName name="QB_ROW_327310" localSheetId="0" hidden="1">Sheet1!#REF!</definedName>
    <definedName name="QB_ROW_328010" localSheetId="0" hidden="1">Sheet1!#REF!</definedName>
    <definedName name="QB_ROW_328310" localSheetId="0" hidden="1">Sheet1!#REF!</definedName>
    <definedName name="QB_ROW_329010" localSheetId="0" hidden="1">Sheet1!#REF!</definedName>
    <definedName name="QB_ROW_329310" localSheetId="0" hidden="1">Sheet1!#REF!</definedName>
    <definedName name="QB_ROW_33010" localSheetId="0" hidden="1">Sheet1!#REF!</definedName>
    <definedName name="QB_ROW_3310" localSheetId="0" hidden="1">Sheet1!#REF!</definedName>
    <definedName name="QB_ROW_332010" localSheetId="0" hidden="1">Sheet1!#REF!</definedName>
    <definedName name="QB_ROW_332310" localSheetId="0" hidden="1">Sheet1!#REF!</definedName>
    <definedName name="QB_ROW_333010" localSheetId="0" hidden="1">Sheet1!#REF!</definedName>
    <definedName name="QB_ROW_33310" localSheetId="0" hidden="1">Sheet1!#REF!</definedName>
    <definedName name="QB_ROW_333310" localSheetId="0" hidden="1">Sheet1!#REF!</definedName>
    <definedName name="QB_ROW_336010" localSheetId="0" hidden="1">Sheet1!#REF!</definedName>
    <definedName name="QB_ROW_336310" localSheetId="0" hidden="1">Sheet1!#REF!</definedName>
    <definedName name="QB_ROW_337010" localSheetId="0" hidden="1">Sheet1!#REF!</definedName>
    <definedName name="QB_ROW_337310" localSheetId="0" hidden="1">Sheet1!#REF!</definedName>
    <definedName name="QB_ROW_338010" localSheetId="0" hidden="1">Sheet1!#REF!</definedName>
    <definedName name="QB_ROW_338310" localSheetId="0" hidden="1">Sheet1!#REF!</definedName>
    <definedName name="QB_ROW_339010" localSheetId="0" hidden="1">Sheet1!#REF!</definedName>
    <definedName name="QB_ROW_339310" localSheetId="0" hidden="1">Sheet1!#REF!</definedName>
    <definedName name="QB_ROW_340010" localSheetId="0" hidden="1">Sheet1!#REF!</definedName>
    <definedName name="QB_ROW_34010" localSheetId="0" hidden="1">Sheet1!#REF!</definedName>
    <definedName name="QB_ROW_340310" localSheetId="0" hidden="1">Sheet1!#REF!</definedName>
    <definedName name="QB_ROW_341010" localSheetId="0" hidden="1">Sheet1!#REF!</definedName>
    <definedName name="QB_ROW_341310" localSheetId="0" hidden="1">Sheet1!#REF!</definedName>
    <definedName name="QB_ROW_342010" localSheetId="0" hidden="1">Sheet1!#REF!</definedName>
    <definedName name="QB_ROW_342310" localSheetId="0" hidden="1">Sheet1!#REF!</definedName>
    <definedName name="QB_ROW_343010" localSheetId="0" hidden="1">Sheet1!#REF!</definedName>
    <definedName name="QB_ROW_34310" localSheetId="0" hidden="1">Sheet1!#REF!</definedName>
    <definedName name="QB_ROW_343310" localSheetId="0" hidden="1">Sheet1!#REF!</definedName>
    <definedName name="QB_ROW_344010" localSheetId="0" hidden="1">Sheet1!#REF!</definedName>
    <definedName name="QB_ROW_344310" localSheetId="0" hidden="1">Sheet1!#REF!</definedName>
    <definedName name="QB_ROW_345010" localSheetId="0" hidden="1">Sheet1!#REF!</definedName>
    <definedName name="QB_ROW_345310" localSheetId="0" hidden="1">Sheet1!#REF!</definedName>
    <definedName name="QB_ROW_346010" localSheetId="0" hidden="1">Sheet1!#REF!</definedName>
    <definedName name="QB_ROW_346310" localSheetId="0" hidden="1">Sheet1!#REF!</definedName>
    <definedName name="QB_ROW_347010" localSheetId="0" hidden="1">Sheet1!#REF!</definedName>
    <definedName name="QB_ROW_347310" localSheetId="0" hidden="1">Sheet1!#REF!</definedName>
    <definedName name="QB_ROW_348010" localSheetId="0" hidden="1">Sheet1!#REF!</definedName>
    <definedName name="QB_ROW_348310" localSheetId="0" hidden="1">Sheet1!#REF!</definedName>
    <definedName name="QB_ROW_349010" localSheetId="0" hidden="1">Sheet1!#REF!</definedName>
    <definedName name="QB_ROW_349310" localSheetId="0" hidden="1">Sheet1!#REF!</definedName>
    <definedName name="QB_ROW_350010" localSheetId="0" hidden="1">Sheet1!#REF!</definedName>
    <definedName name="QB_ROW_35010" localSheetId="0" hidden="1">Sheet1!#REF!</definedName>
    <definedName name="QB_ROW_350310" localSheetId="0" hidden="1">Sheet1!#REF!</definedName>
    <definedName name="QB_ROW_351010" localSheetId="0" hidden="1">Sheet1!#REF!</definedName>
    <definedName name="QB_ROW_351310" localSheetId="0" hidden="1">Sheet1!#REF!</definedName>
    <definedName name="QB_ROW_352010" localSheetId="0" hidden="1">Sheet1!#REF!</definedName>
    <definedName name="QB_ROW_352310" localSheetId="0" hidden="1">Sheet1!#REF!</definedName>
    <definedName name="QB_ROW_353010" localSheetId="0" hidden="1">Sheet1!#REF!</definedName>
    <definedName name="QB_ROW_35310" localSheetId="0" hidden="1">Sheet1!#REF!</definedName>
    <definedName name="QB_ROW_353310" localSheetId="0" hidden="1">Sheet1!#REF!</definedName>
    <definedName name="QB_ROW_354010" localSheetId="0" hidden="1">Sheet1!#REF!</definedName>
    <definedName name="QB_ROW_354310" localSheetId="0" hidden="1">Sheet1!#REF!</definedName>
    <definedName name="QB_ROW_355010" localSheetId="0" hidden="1">Sheet1!#REF!</definedName>
    <definedName name="QB_ROW_355310" localSheetId="0" hidden="1">Sheet1!#REF!</definedName>
    <definedName name="QB_ROW_356010" localSheetId="0" hidden="1">Sheet1!#REF!</definedName>
    <definedName name="QB_ROW_356310" localSheetId="0" hidden="1">Sheet1!#REF!</definedName>
    <definedName name="QB_ROW_357010" localSheetId="0" hidden="1">Sheet1!#REF!</definedName>
    <definedName name="QB_ROW_357310" localSheetId="0" hidden="1">Sheet1!#REF!</definedName>
    <definedName name="QB_ROW_358010" localSheetId="0" hidden="1">Sheet1!#REF!</definedName>
    <definedName name="QB_ROW_358310" localSheetId="0" hidden="1">Sheet1!#REF!</definedName>
    <definedName name="QB_ROW_359010" localSheetId="0" hidden="1">Sheet1!#REF!</definedName>
    <definedName name="QB_ROW_359310" localSheetId="0" hidden="1">Sheet1!#REF!</definedName>
    <definedName name="QB_ROW_360010" localSheetId="0" hidden="1">Sheet1!#REF!</definedName>
    <definedName name="QB_ROW_36010" localSheetId="0" hidden="1">Sheet1!#REF!</definedName>
    <definedName name="QB_ROW_360310" localSheetId="0" hidden="1">Sheet1!#REF!</definedName>
    <definedName name="QB_ROW_361010" localSheetId="0" hidden="1">Sheet1!#REF!</definedName>
    <definedName name="QB_ROW_361310" localSheetId="0" hidden="1">Sheet1!#REF!</definedName>
    <definedName name="QB_ROW_362010" localSheetId="0" hidden="1">Sheet1!#REF!</definedName>
    <definedName name="QB_ROW_362310" localSheetId="0" hidden="1">Sheet1!#REF!</definedName>
    <definedName name="QB_ROW_363010" localSheetId="0" hidden="1">Sheet1!#REF!</definedName>
    <definedName name="QB_ROW_36310" localSheetId="0" hidden="1">Sheet1!#REF!</definedName>
    <definedName name="QB_ROW_363310" localSheetId="0" hidden="1">Sheet1!#REF!</definedName>
    <definedName name="QB_ROW_364010" localSheetId="0" hidden="1">Sheet1!#REF!</definedName>
    <definedName name="QB_ROW_364310" localSheetId="0" hidden="1">Sheet1!#REF!</definedName>
    <definedName name="QB_ROW_367010" localSheetId="0" hidden="1">Sheet1!#REF!</definedName>
    <definedName name="QB_ROW_367310" localSheetId="0" hidden="1">Sheet1!#REF!</definedName>
    <definedName name="QB_ROW_368010" localSheetId="0" hidden="1">Sheet1!#REF!</definedName>
    <definedName name="QB_ROW_368310" localSheetId="0" hidden="1">Sheet1!#REF!</definedName>
    <definedName name="QB_ROW_37010" localSheetId="0" hidden="1">Sheet1!#REF!</definedName>
    <definedName name="QB_ROW_37310" localSheetId="0" hidden="1">Sheet1!#REF!</definedName>
    <definedName name="QB_ROW_375010" localSheetId="0" hidden="1">Sheet1!#REF!</definedName>
    <definedName name="QB_ROW_375310" localSheetId="0" hidden="1">Sheet1!#REF!</definedName>
    <definedName name="QB_ROW_38010" localSheetId="0" hidden="1">Sheet1!#REF!</definedName>
    <definedName name="QB_ROW_38310" localSheetId="0" hidden="1">Sheet1!#REF!</definedName>
    <definedName name="QB_ROW_39010" localSheetId="0" hidden="1">Sheet1!#REF!</definedName>
    <definedName name="QB_ROW_39310" localSheetId="0" hidden="1">Sheet1!#REF!</definedName>
    <definedName name="QB_ROW_394010" localSheetId="0" hidden="1">Sheet1!#REF!</definedName>
    <definedName name="QB_ROW_394310" localSheetId="0" hidden="1">Sheet1!#REF!</definedName>
    <definedName name="QB_ROW_395010" localSheetId="0" hidden="1">Sheet1!#REF!</definedName>
    <definedName name="QB_ROW_395310" localSheetId="0" hidden="1">Sheet1!#REF!</definedName>
    <definedName name="QB_ROW_396010" localSheetId="0" hidden="1">Sheet1!#REF!</definedName>
    <definedName name="QB_ROW_396310" localSheetId="0" hidden="1">Sheet1!#REF!</definedName>
    <definedName name="QB_ROW_397010" localSheetId="0" hidden="1">Sheet1!#REF!</definedName>
    <definedName name="QB_ROW_397310" localSheetId="0" hidden="1">Sheet1!#REF!</definedName>
    <definedName name="QB_ROW_398010" localSheetId="0" hidden="1">Sheet1!#REF!</definedName>
    <definedName name="QB_ROW_398310" localSheetId="0" hidden="1">Sheet1!#REF!</definedName>
    <definedName name="QB_ROW_399010" localSheetId="0" hidden="1">Sheet1!#REF!</definedName>
    <definedName name="QB_ROW_399310" localSheetId="0" hidden="1">Sheet1!#REF!</definedName>
    <definedName name="QB_ROW_400010" localSheetId="0" hidden="1">Sheet1!#REF!</definedName>
    <definedName name="QB_ROW_40010" localSheetId="0" hidden="1">Sheet1!#REF!</definedName>
    <definedName name="QB_ROW_400310" localSheetId="0" hidden="1">Sheet1!#REF!</definedName>
    <definedName name="QB_ROW_4010" localSheetId="0" hidden="1">Sheet1!#REF!</definedName>
    <definedName name="QB_ROW_402010" localSheetId="0" hidden="1">Sheet1!#REF!</definedName>
    <definedName name="QB_ROW_402310" localSheetId="0" hidden="1">Sheet1!#REF!</definedName>
    <definedName name="QB_ROW_40310" localSheetId="0" hidden="1">Sheet1!#REF!</definedName>
    <definedName name="QB_ROW_404010" localSheetId="0" hidden="1">Sheet1!#REF!</definedName>
    <definedName name="QB_ROW_404310" localSheetId="0" hidden="1">Sheet1!#REF!</definedName>
    <definedName name="QB_ROW_407010" localSheetId="0" hidden="1">Sheet1!#REF!</definedName>
    <definedName name="QB_ROW_407310" localSheetId="0" hidden="1">Sheet1!#REF!</definedName>
    <definedName name="QB_ROW_408010" localSheetId="0" hidden="1">Sheet1!#REF!</definedName>
    <definedName name="QB_ROW_408310" localSheetId="0" hidden="1">Sheet1!#REF!</definedName>
    <definedName name="QB_ROW_41010" localSheetId="0" hidden="1">Sheet1!#REF!</definedName>
    <definedName name="QB_ROW_413010" localSheetId="0" hidden="1">Sheet1!#REF!</definedName>
    <definedName name="QB_ROW_41310" localSheetId="0" hidden="1">Sheet1!#REF!</definedName>
    <definedName name="QB_ROW_413310" localSheetId="0" hidden="1">Sheet1!#REF!</definedName>
    <definedName name="QB_ROW_414010" localSheetId="0" hidden="1">Sheet1!#REF!</definedName>
    <definedName name="QB_ROW_414310" localSheetId="0" hidden="1">Sheet1!#REF!</definedName>
    <definedName name="QB_ROW_419010" localSheetId="0" hidden="1">Sheet1!#REF!</definedName>
    <definedName name="QB_ROW_419310" localSheetId="0" hidden="1">Sheet1!#REF!</definedName>
    <definedName name="QB_ROW_42010" localSheetId="0" hidden="1">Sheet1!#REF!</definedName>
    <definedName name="QB_ROW_421010" localSheetId="0" hidden="1">Sheet1!#REF!</definedName>
    <definedName name="QB_ROW_421310" localSheetId="0" hidden="1">Sheet1!#REF!</definedName>
    <definedName name="QB_ROW_423010" localSheetId="0" hidden="1">Sheet1!#REF!</definedName>
    <definedName name="QB_ROW_42310" localSheetId="0" hidden="1">Sheet1!#REF!</definedName>
    <definedName name="QB_ROW_423310" localSheetId="0" hidden="1">Sheet1!#REF!</definedName>
    <definedName name="QB_ROW_424010" localSheetId="0" hidden="1">Sheet1!#REF!</definedName>
    <definedName name="QB_ROW_424310" localSheetId="0" hidden="1">Sheet1!#REF!</definedName>
    <definedName name="QB_ROW_428010" localSheetId="0" hidden="1">Sheet1!#REF!</definedName>
    <definedName name="QB_ROW_428310" localSheetId="0" hidden="1">Sheet1!#REF!</definedName>
    <definedName name="QB_ROW_430010" localSheetId="0" hidden="1">Sheet1!#REF!</definedName>
    <definedName name="QB_ROW_43010" localSheetId="0" hidden="1">Sheet1!#REF!</definedName>
    <definedName name="QB_ROW_430310" localSheetId="0" hidden="1">Sheet1!#REF!</definedName>
    <definedName name="QB_ROW_4310" localSheetId="0" hidden="1">Sheet1!#REF!</definedName>
    <definedName name="QB_ROW_431010" localSheetId="0" hidden="1">Sheet1!#REF!</definedName>
    <definedName name="QB_ROW_431310" localSheetId="0" hidden="1">Sheet1!#REF!</definedName>
    <definedName name="QB_ROW_43310" localSheetId="0" hidden="1">Sheet1!#REF!</definedName>
    <definedName name="QB_ROW_434010" localSheetId="0" hidden="1">Sheet1!#REF!</definedName>
    <definedName name="QB_ROW_434310" localSheetId="0" hidden="1">Sheet1!#REF!</definedName>
    <definedName name="QB_ROW_435010" localSheetId="0" hidden="1">Sheet1!#REF!</definedName>
    <definedName name="QB_ROW_435310" localSheetId="0" hidden="1">Sheet1!#REF!</definedName>
    <definedName name="QB_ROW_436010" localSheetId="0" hidden="1">Sheet1!#REF!</definedName>
    <definedName name="QB_ROW_436310" localSheetId="0" hidden="1">Sheet1!#REF!</definedName>
    <definedName name="QB_ROW_437010" localSheetId="0" hidden="1">Sheet1!#REF!</definedName>
    <definedName name="QB_ROW_437310" localSheetId="0" hidden="1">Sheet1!#REF!</definedName>
    <definedName name="QB_ROW_438010" localSheetId="0" hidden="1">Sheet1!#REF!</definedName>
    <definedName name="QB_ROW_438310" localSheetId="0" hidden="1">Sheet1!#REF!</definedName>
    <definedName name="QB_ROW_439010" localSheetId="0" hidden="1">Sheet1!#REF!</definedName>
    <definedName name="QB_ROW_439310" localSheetId="0" hidden="1">Sheet1!#REF!</definedName>
    <definedName name="QB_ROW_440010" localSheetId="0" hidden="1">Sheet1!#REF!</definedName>
    <definedName name="QB_ROW_44010" localSheetId="0" hidden="1">Sheet1!#REF!</definedName>
    <definedName name="QB_ROW_440310" localSheetId="0" hidden="1">Sheet1!#REF!</definedName>
    <definedName name="QB_ROW_441010" localSheetId="0" hidden="1">Sheet1!#REF!</definedName>
    <definedName name="QB_ROW_441310" localSheetId="0" hidden="1">Sheet1!#REF!</definedName>
    <definedName name="QB_ROW_442010" localSheetId="0" hidden="1">Sheet1!#REF!</definedName>
    <definedName name="QB_ROW_442310" localSheetId="0" hidden="1">Sheet1!#REF!</definedName>
    <definedName name="QB_ROW_443010" localSheetId="0" hidden="1">Sheet1!#REF!</definedName>
    <definedName name="QB_ROW_44310" localSheetId="0" hidden="1">Sheet1!#REF!</definedName>
    <definedName name="QB_ROW_443310" localSheetId="0" hidden="1">Sheet1!#REF!</definedName>
    <definedName name="QB_ROW_444010" localSheetId="0" hidden="1">Sheet1!#REF!</definedName>
    <definedName name="QB_ROW_444310" localSheetId="0" hidden="1">Sheet1!#REF!</definedName>
    <definedName name="QB_ROW_445010" localSheetId="0" hidden="1">Sheet1!#REF!</definedName>
    <definedName name="QB_ROW_445310" localSheetId="0" hidden="1">Sheet1!#REF!</definedName>
    <definedName name="QB_ROW_446010" localSheetId="0" hidden="1">Sheet1!#REF!</definedName>
    <definedName name="QB_ROW_446310" localSheetId="0" hidden="1">Sheet1!#REF!</definedName>
    <definedName name="QB_ROW_447010" localSheetId="0" hidden="1">Sheet1!#REF!</definedName>
    <definedName name="QB_ROW_447310" localSheetId="0" hidden="1">Sheet1!#REF!</definedName>
    <definedName name="QB_ROW_448010" localSheetId="0" hidden="1">Sheet1!#REF!</definedName>
    <definedName name="QB_ROW_448310" localSheetId="0" hidden="1">Sheet1!#REF!</definedName>
    <definedName name="QB_ROW_449010" localSheetId="0" hidden="1">Sheet1!#REF!</definedName>
    <definedName name="QB_ROW_449310" localSheetId="0" hidden="1">Sheet1!#REF!</definedName>
    <definedName name="QB_ROW_45010" localSheetId="0" hidden="1">Sheet1!#REF!</definedName>
    <definedName name="QB_ROW_453010" localSheetId="0" hidden="1">Sheet1!#REF!</definedName>
    <definedName name="QB_ROW_45310" localSheetId="0" hidden="1">Sheet1!#REF!</definedName>
    <definedName name="QB_ROW_453310" localSheetId="0" hidden="1">Sheet1!#REF!</definedName>
    <definedName name="QB_ROW_455010" localSheetId="0" hidden="1">Sheet1!#REF!</definedName>
    <definedName name="QB_ROW_455310" localSheetId="0" hidden="1">Sheet1!#REF!</definedName>
    <definedName name="QB_ROW_457010" localSheetId="0" hidden="1">Sheet1!#REF!</definedName>
    <definedName name="QB_ROW_457310" localSheetId="0" hidden="1">Sheet1!#REF!</definedName>
    <definedName name="QB_ROW_458010" localSheetId="0" hidden="1">Sheet1!#REF!</definedName>
    <definedName name="QB_ROW_458310" localSheetId="0" hidden="1">Sheet1!#REF!</definedName>
    <definedName name="QB_ROW_459010" localSheetId="0" hidden="1">Sheet1!#REF!</definedName>
    <definedName name="QB_ROW_459310" localSheetId="0" hidden="1">Sheet1!#REF!</definedName>
    <definedName name="QB_ROW_46010" localSheetId="0" hidden="1">Sheet1!#REF!</definedName>
    <definedName name="QB_ROW_46310" localSheetId="0" hidden="1">Sheet1!#REF!</definedName>
    <definedName name="QB_ROW_475010" localSheetId="0" hidden="1">Sheet1!#REF!</definedName>
    <definedName name="QB_ROW_475310" localSheetId="0" hidden="1">Sheet1!#REF!</definedName>
    <definedName name="QB_ROW_482010" localSheetId="0" hidden="1">Sheet1!#REF!</definedName>
    <definedName name="QB_ROW_482310" localSheetId="0" hidden="1">Sheet1!#REF!</definedName>
    <definedName name="QB_ROW_484010" localSheetId="0" hidden="1">Sheet1!#REF!</definedName>
    <definedName name="QB_ROW_484310" localSheetId="0" hidden="1">Sheet1!#REF!</definedName>
    <definedName name="QB_ROW_486010" localSheetId="0" hidden="1">Sheet1!#REF!</definedName>
    <definedName name="QB_ROW_486310" localSheetId="0" hidden="1">Sheet1!#REF!</definedName>
    <definedName name="QB_ROW_487010" localSheetId="0" hidden="1">Sheet1!#REF!</definedName>
    <definedName name="QB_ROW_487310" localSheetId="0" hidden="1">Sheet1!#REF!</definedName>
    <definedName name="QB_ROW_488010" localSheetId="0" hidden="1">Sheet1!#REF!</definedName>
    <definedName name="QB_ROW_488310" localSheetId="0" hidden="1">Sheet1!#REF!</definedName>
    <definedName name="QB_ROW_489010" localSheetId="0" hidden="1">Sheet1!#REF!</definedName>
    <definedName name="QB_ROW_489310" localSheetId="0" hidden="1">Sheet1!#REF!</definedName>
    <definedName name="QB_ROW_490010" localSheetId="0" hidden="1">Sheet1!#REF!</definedName>
    <definedName name="QB_ROW_490310" localSheetId="0" hidden="1">Sheet1!#REF!</definedName>
    <definedName name="QB_ROW_491010" localSheetId="0" hidden="1">Sheet1!#REF!</definedName>
    <definedName name="QB_ROW_491310" localSheetId="0" hidden="1">Sheet1!#REF!</definedName>
    <definedName name="QB_ROW_492010" localSheetId="0" hidden="1">Sheet1!#REF!</definedName>
    <definedName name="QB_ROW_492310" localSheetId="0" hidden="1">Sheet1!#REF!</definedName>
    <definedName name="QB_ROW_493010" localSheetId="0" hidden="1">Sheet1!#REF!</definedName>
    <definedName name="QB_ROW_493310" localSheetId="0" hidden="1">Sheet1!#REF!</definedName>
    <definedName name="QB_ROW_495010" localSheetId="0" hidden="1">Sheet1!#REF!</definedName>
    <definedName name="QB_ROW_495310" localSheetId="0" hidden="1">Sheet1!#REF!</definedName>
    <definedName name="QB_ROW_496010" localSheetId="0" hidden="1">Sheet1!#REF!</definedName>
    <definedName name="QB_ROW_496310" localSheetId="0" hidden="1">Sheet1!#REF!</definedName>
    <definedName name="QB_ROW_497010" localSheetId="0" hidden="1">Sheet1!#REF!</definedName>
    <definedName name="QB_ROW_497310" localSheetId="0" hidden="1">Sheet1!#REF!</definedName>
    <definedName name="QB_ROW_498010" localSheetId="0" hidden="1">Sheet1!#REF!</definedName>
    <definedName name="QB_ROW_498310" localSheetId="0" hidden="1">Sheet1!#REF!</definedName>
    <definedName name="QB_ROW_499010" localSheetId="0" hidden="1">Sheet1!#REF!</definedName>
    <definedName name="QB_ROW_499310" localSheetId="0" hidden="1">Sheet1!#REF!</definedName>
    <definedName name="QB_ROW_500010" localSheetId="0" hidden="1">Sheet1!#REF!</definedName>
    <definedName name="QB_ROW_500310" localSheetId="0" hidden="1">Sheet1!#REF!</definedName>
    <definedName name="QB_ROW_5010" localSheetId="0" hidden="1">Sheet1!#REF!</definedName>
    <definedName name="QB_ROW_501010" localSheetId="0" hidden="1">Sheet1!#REF!</definedName>
    <definedName name="QB_ROW_501310" localSheetId="0" hidden="1">Sheet1!#REF!</definedName>
    <definedName name="QB_ROW_502010" localSheetId="0" hidden="1">Sheet1!#REF!</definedName>
    <definedName name="QB_ROW_502310" localSheetId="0" hidden="1">Sheet1!#REF!</definedName>
    <definedName name="QB_ROW_503010" localSheetId="0" hidden="1">Sheet1!#REF!</definedName>
    <definedName name="QB_ROW_503310" localSheetId="0" hidden="1">Sheet1!#REF!</definedName>
    <definedName name="QB_ROW_504010" localSheetId="0" hidden="1">Sheet1!#REF!</definedName>
    <definedName name="QB_ROW_504310" localSheetId="0" hidden="1">Sheet1!#REF!</definedName>
    <definedName name="QB_ROW_505010" localSheetId="0" hidden="1">Sheet1!#REF!</definedName>
    <definedName name="QB_ROW_505310" localSheetId="0" hidden="1">Sheet1!#REF!</definedName>
    <definedName name="QB_ROW_506010" localSheetId="0" hidden="1">Sheet1!#REF!</definedName>
    <definedName name="QB_ROW_506310" localSheetId="0" hidden="1">Sheet1!#REF!</definedName>
    <definedName name="QB_ROW_507010" localSheetId="0" hidden="1">Sheet1!#REF!</definedName>
    <definedName name="QB_ROW_507310" localSheetId="0" hidden="1">Sheet1!#REF!</definedName>
    <definedName name="QB_ROW_508010" localSheetId="0" hidden="1">Sheet1!#REF!</definedName>
    <definedName name="QB_ROW_508310" localSheetId="0" hidden="1">Sheet1!#REF!</definedName>
    <definedName name="QB_ROW_509010" localSheetId="0" hidden="1">Sheet1!#REF!</definedName>
    <definedName name="QB_ROW_509310" localSheetId="0" hidden="1">Sheet1!#REF!</definedName>
    <definedName name="QB_ROW_510010" localSheetId="0" hidden="1">Sheet1!#REF!</definedName>
    <definedName name="QB_ROW_510310" localSheetId="0" hidden="1">Sheet1!#REF!</definedName>
    <definedName name="QB_ROW_511010" localSheetId="0" hidden="1">Sheet1!#REF!</definedName>
    <definedName name="QB_ROW_511310" localSheetId="0" hidden="1">Sheet1!#REF!</definedName>
    <definedName name="QB_ROW_513010" localSheetId="0" hidden="1">Sheet1!#REF!</definedName>
    <definedName name="QB_ROW_513310" localSheetId="0" hidden="1">Sheet1!#REF!</definedName>
    <definedName name="QB_ROW_520010" localSheetId="0" hidden="1">Sheet1!#REF!</definedName>
    <definedName name="QB_ROW_52010" localSheetId="0" hidden="1">Sheet1!#REF!</definedName>
    <definedName name="QB_ROW_520310" localSheetId="0" hidden="1">Sheet1!#REF!</definedName>
    <definedName name="QB_ROW_522010" localSheetId="0" hidden="1">Sheet1!#REF!</definedName>
    <definedName name="QB_ROW_522310" localSheetId="0" hidden="1">Sheet1!#REF!</definedName>
    <definedName name="QB_ROW_52310" localSheetId="0" hidden="1">Sheet1!#REF!</definedName>
    <definedName name="QB_ROW_524010" localSheetId="0" hidden="1">Sheet1!#REF!</definedName>
    <definedName name="QB_ROW_524310" localSheetId="0" hidden="1">Sheet1!#REF!</definedName>
    <definedName name="QB_ROW_525010" localSheetId="0" hidden="1">Sheet1!#REF!</definedName>
    <definedName name="QB_ROW_525310" localSheetId="0" hidden="1">Sheet1!#REF!</definedName>
    <definedName name="QB_ROW_526010" localSheetId="0" hidden="1">Sheet1!#REF!</definedName>
    <definedName name="QB_ROW_526310" localSheetId="0" hidden="1">Sheet1!#REF!</definedName>
    <definedName name="QB_ROW_527010" localSheetId="0" hidden="1">Sheet1!#REF!</definedName>
    <definedName name="QB_ROW_527310" localSheetId="0" hidden="1">Sheet1!#REF!</definedName>
    <definedName name="QB_ROW_528010" localSheetId="0" hidden="1">Sheet1!#REF!</definedName>
    <definedName name="QB_ROW_528310" localSheetId="0" hidden="1">Sheet1!#REF!</definedName>
    <definedName name="QB_ROW_53010" localSheetId="0" hidden="1">Sheet1!#REF!</definedName>
    <definedName name="QB_ROW_5310" localSheetId="0" hidden="1">Sheet1!#REF!</definedName>
    <definedName name="QB_ROW_531010" localSheetId="0" hidden="1">Sheet1!#REF!</definedName>
    <definedName name="QB_ROW_531310" localSheetId="0" hidden="1">Sheet1!#REF!</definedName>
    <definedName name="QB_ROW_532010" localSheetId="0" hidden="1">Sheet1!#REF!</definedName>
    <definedName name="QB_ROW_532310" localSheetId="0" hidden="1">Sheet1!#REF!</definedName>
    <definedName name="QB_ROW_533010" localSheetId="0" hidden="1">Sheet1!#REF!</definedName>
    <definedName name="QB_ROW_53310" localSheetId="0" hidden="1">Sheet1!#REF!</definedName>
    <definedName name="QB_ROW_533310" localSheetId="0" hidden="1">Sheet1!#REF!</definedName>
    <definedName name="QB_ROW_534010" localSheetId="0" hidden="1">Sheet1!#REF!</definedName>
    <definedName name="QB_ROW_534310" localSheetId="0" hidden="1">Sheet1!#REF!</definedName>
    <definedName name="QB_ROW_536010" localSheetId="0" hidden="1">Sheet1!#REF!</definedName>
    <definedName name="QB_ROW_536310" localSheetId="0" hidden="1">Sheet1!#REF!</definedName>
    <definedName name="QB_ROW_537010" localSheetId="0" hidden="1">Sheet1!#REF!</definedName>
    <definedName name="QB_ROW_537310" localSheetId="0" hidden="1">Sheet1!#REF!</definedName>
    <definedName name="QB_ROW_538010" localSheetId="0" hidden="1">Sheet1!#REF!</definedName>
    <definedName name="QB_ROW_538310" localSheetId="0" hidden="1">Sheet1!#REF!</definedName>
    <definedName name="QB_ROW_539010" localSheetId="0" hidden="1">Sheet1!#REF!</definedName>
    <definedName name="QB_ROW_539310" localSheetId="0" hidden="1">Sheet1!#REF!</definedName>
    <definedName name="QB_ROW_54010" localSheetId="0" hidden="1">Sheet1!#REF!</definedName>
    <definedName name="QB_ROW_54310" localSheetId="0" hidden="1">Sheet1!#REF!</definedName>
    <definedName name="QB_ROW_546010" localSheetId="0" hidden="1">Sheet1!#REF!</definedName>
    <definedName name="QB_ROW_546310" localSheetId="0" hidden="1">Sheet1!#REF!</definedName>
    <definedName name="QB_ROW_55010" localSheetId="0" hidden="1">Sheet1!#REF!</definedName>
    <definedName name="QB_ROW_551010" localSheetId="0" hidden="1">Sheet1!#REF!</definedName>
    <definedName name="QB_ROW_551310" localSheetId="0" hidden="1">Sheet1!#REF!</definedName>
    <definedName name="QB_ROW_55310" localSheetId="0" hidden="1">Sheet1!#REF!</definedName>
    <definedName name="QB_ROW_561010" localSheetId="0" hidden="1">Sheet1!#REF!</definedName>
    <definedName name="QB_ROW_561310" localSheetId="0" hidden="1">Sheet1!#REF!</definedName>
    <definedName name="QB_ROW_563010" localSheetId="0" hidden="1">Sheet1!#REF!</definedName>
    <definedName name="QB_ROW_563310" localSheetId="0" hidden="1">Sheet1!#REF!</definedName>
    <definedName name="QB_ROW_564010" localSheetId="0" hidden="1">Sheet1!#REF!</definedName>
    <definedName name="QB_ROW_564310" localSheetId="0" hidden="1">Sheet1!#REF!</definedName>
    <definedName name="QB_ROW_565010" localSheetId="0" hidden="1">Sheet1!#REF!</definedName>
    <definedName name="QB_ROW_565310" localSheetId="0" hidden="1">Sheet1!#REF!</definedName>
    <definedName name="QB_ROW_566010" localSheetId="0" hidden="1">Sheet1!#REF!</definedName>
    <definedName name="QB_ROW_566310" localSheetId="0" hidden="1">Sheet1!#REF!</definedName>
    <definedName name="QB_ROW_571010" localSheetId="0" hidden="1">Sheet1!#REF!</definedName>
    <definedName name="QB_ROW_571310" localSheetId="0" hidden="1">Sheet1!#REF!</definedName>
    <definedName name="QB_ROW_572010" localSheetId="0" hidden="1">Sheet1!#REF!</definedName>
    <definedName name="QB_ROW_572310" localSheetId="0" hidden="1">Sheet1!#REF!</definedName>
    <definedName name="QB_ROW_576010" localSheetId="0" hidden="1">Sheet1!#REF!</definedName>
    <definedName name="QB_ROW_576310" localSheetId="0" hidden="1">Sheet1!#REF!</definedName>
    <definedName name="QB_ROW_579010" localSheetId="0" hidden="1">Sheet1!#REF!</definedName>
    <definedName name="QB_ROW_579310" localSheetId="0" hidden="1">Sheet1!#REF!</definedName>
    <definedName name="QB_ROW_581010" localSheetId="0" hidden="1">Sheet1!#REF!</definedName>
    <definedName name="QB_ROW_581310" localSheetId="0" hidden="1">Sheet1!#REF!</definedName>
    <definedName name="QB_ROW_582010" localSheetId="0" hidden="1">Sheet1!#REF!</definedName>
    <definedName name="QB_ROW_582310" localSheetId="0" hidden="1">Sheet1!#REF!</definedName>
    <definedName name="QB_ROW_583010" localSheetId="0" hidden="1">Sheet1!#REF!</definedName>
    <definedName name="QB_ROW_583310" localSheetId="0" hidden="1">Sheet1!#REF!</definedName>
    <definedName name="QB_ROW_584010" localSheetId="0" hidden="1">Sheet1!#REF!</definedName>
    <definedName name="QB_ROW_584310" localSheetId="0" hidden="1">Sheet1!#REF!</definedName>
    <definedName name="QB_ROW_586010" localSheetId="0" hidden="1">Sheet1!#REF!</definedName>
    <definedName name="QB_ROW_586310" localSheetId="0" hidden="1">Sheet1!#REF!</definedName>
    <definedName name="QB_ROW_587010" localSheetId="0" hidden="1">Sheet1!#REF!</definedName>
    <definedName name="QB_ROW_587310" localSheetId="0" hidden="1">Sheet1!#REF!</definedName>
    <definedName name="QB_ROW_588010" localSheetId="0" hidden="1">Sheet1!#REF!</definedName>
    <definedName name="QB_ROW_588310" localSheetId="0" hidden="1">Sheet1!#REF!</definedName>
    <definedName name="QB_ROW_593010" localSheetId="0" hidden="1">Sheet1!#REF!</definedName>
    <definedName name="QB_ROW_593310" localSheetId="0" hidden="1">Sheet1!#REF!</definedName>
    <definedName name="QB_ROW_594010" localSheetId="0" hidden="1">Sheet1!#REF!</definedName>
    <definedName name="QB_ROW_594310" localSheetId="0" hidden="1">Sheet1!#REF!</definedName>
    <definedName name="QB_ROW_595010" localSheetId="0" hidden="1">Sheet1!#REF!</definedName>
    <definedName name="QB_ROW_595310" localSheetId="0" hidden="1">Sheet1!#REF!</definedName>
    <definedName name="QB_ROW_596010" localSheetId="0" hidden="1">Sheet1!#REF!</definedName>
    <definedName name="QB_ROW_596310" localSheetId="0" hidden="1">Sheet1!#REF!</definedName>
    <definedName name="QB_ROW_597010" localSheetId="0" hidden="1">Sheet1!#REF!</definedName>
    <definedName name="QB_ROW_597310" localSheetId="0" hidden="1">Sheet1!#REF!</definedName>
    <definedName name="QB_ROW_598010" localSheetId="0" hidden="1">Sheet1!#REF!</definedName>
    <definedName name="QB_ROW_598310" localSheetId="0" hidden="1">Sheet1!#REF!</definedName>
    <definedName name="QB_ROW_600010" localSheetId="0" hidden="1">Sheet1!#REF!</definedName>
    <definedName name="QB_ROW_600310" localSheetId="0" hidden="1">Sheet1!#REF!</definedName>
    <definedName name="QB_ROW_6010" localSheetId="0" hidden="1">Sheet1!#REF!</definedName>
    <definedName name="QB_ROW_601010" localSheetId="0" hidden="1">Sheet1!#REF!</definedName>
    <definedName name="QB_ROW_601310" localSheetId="0" hidden="1">Sheet1!#REF!</definedName>
    <definedName name="QB_ROW_603010" localSheetId="0" hidden="1">Sheet1!#REF!</definedName>
    <definedName name="QB_ROW_603310" localSheetId="0" hidden="1">Sheet1!#REF!</definedName>
    <definedName name="QB_ROW_605010" localSheetId="0" hidden="1">Sheet1!#REF!</definedName>
    <definedName name="QB_ROW_605310" localSheetId="0" hidden="1">Sheet1!#REF!</definedName>
    <definedName name="QB_ROW_607010" localSheetId="0" hidden="1">Sheet1!#REF!</definedName>
    <definedName name="QB_ROW_607310" localSheetId="0" hidden="1">Sheet1!#REF!</definedName>
    <definedName name="QB_ROW_608010" localSheetId="0" hidden="1">Sheet1!#REF!</definedName>
    <definedName name="QB_ROW_608310" localSheetId="0" hidden="1">Sheet1!#REF!</definedName>
    <definedName name="QB_ROW_610010" localSheetId="0" hidden="1">Sheet1!#REF!</definedName>
    <definedName name="QB_ROW_610310" localSheetId="0" hidden="1">Sheet1!#REF!</definedName>
    <definedName name="QB_ROW_611010" localSheetId="0" hidden="1">Sheet1!#REF!</definedName>
    <definedName name="QB_ROW_611310" localSheetId="0" hidden="1">Sheet1!#REF!</definedName>
    <definedName name="QB_ROW_612010" localSheetId="0" hidden="1">Sheet1!#REF!</definedName>
    <definedName name="QB_ROW_612310" localSheetId="0" hidden="1">Sheet1!#REF!</definedName>
    <definedName name="QB_ROW_621010" localSheetId="0" hidden="1">Sheet1!#REF!</definedName>
    <definedName name="QB_ROW_621310" localSheetId="0" hidden="1">Sheet1!#REF!</definedName>
    <definedName name="QB_ROW_623010" localSheetId="0" hidden="1">Sheet1!#REF!</definedName>
    <definedName name="QB_ROW_623310" localSheetId="0" hidden="1">Sheet1!#REF!</definedName>
    <definedName name="QB_ROW_625010" localSheetId="0" hidden="1">Sheet1!#REF!</definedName>
    <definedName name="QB_ROW_625310" localSheetId="0" hidden="1">Sheet1!#REF!</definedName>
    <definedName name="QB_ROW_626010" localSheetId="0" hidden="1">Sheet1!#REF!</definedName>
    <definedName name="QB_ROW_626310" localSheetId="0" hidden="1">Sheet1!#REF!</definedName>
    <definedName name="QB_ROW_627010" localSheetId="0" hidden="1">Sheet1!#REF!</definedName>
    <definedName name="QB_ROW_627310" localSheetId="0" hidden="1">Sheet1!#REF!</definedName>
    <definedName name="QB_ROW_6310" localSheetId="0" hidden="1">Sheet1!#REF!</definedName>
    <definedName name="QB_ROW_632010" localSheetId="0" hidden="1">Sheet1!#REF!</definedName>
    <definedName name="QB_ROW_632310" localSheetId="0" hidden="1">Sheet1!#REF!</definedName>
    <definedName name="QB_ROW_634010" localSheetId="0" hidden="1">Sheet1!#REF!</definedName>
    <definedName name="QB_ROW_634310" localSheetId="0" hidden="1">Sheet1!#REF!</definedName>
    <definedName name="QB_ROW_637010" localSheetId="0" hidden="1">Sheet1!#REF!</definedName>
    <definedName name="QB_ROW_637310" localSheetId="0" hidden="1">Sheet1!#REF!</definedName>
    <definedName name="QB_ROW_638010" localSheetId="0" hidden="1">Sheet1!#REF!</definedName>
    <definedName name="QB_ROW_638310" localSheetId="0" hidden="1">Sheet1!#REF!</definedName>
    <definedName name="QB_ROW_639010" localSheetId="0" hidden="1">Sheet1!#REF!</definedName>
    <definedName name="QB_ROW_639310" localSheetId="0" hidden="1">Sheet1!#REF!</definedName>
    <definedName name="QB_ROW_649010" localSheetId="0" hidden="1">Sheet1!#REF!</definedName>
    <definedName name="QB_ROW_649310" localSheetId="0" hidden="1">Sheet1!#REF!</definedName>
    <definedName name="QB_ROW_651010" localSheetId="0" hidden="1">Sheet1!#REF!</definedName>
    <definedName name="QB_ROW_651310" localSheetId="0" hidden="1">Sheet1!#REF!</definedName>
    <definedName name="QB_ROW_653010" localSheetId="0" hidden="1">Sheet1!#REF!</definedName>
    <definedName name="QB_ROW_653310" localSheetId="0" hidden="1">Sheet1!#REF!</definedName>
    <definedName name="QB_ROW_654010" localSheetId="0" hidden="1">Sheet1!#REF!</definedName>
    <definedName name="QB_ROW_654310" localSheetId="0" hidden="1">Sheet1!#REF!</definedName>
    <definedName name="QB_ROW_655010" localSheetId="0" hidden="1">Sheet1!#REF!</definedName>
    <definedName name="QB_ROW_655310" localSheetId="0" hidden="1">Sheet1!#REF!</definedName>
    <definedName name="QB_ROW_656010" localSheetId="0" hidden="1">Sheet1!#REF!</definedName>
    <definedName name="QB_ROW_656310" localSheetId="0" hidden="1">Sheet1!#REF!</definedName>
    <definedName name="QB_ROW_657010" localSheetId="0" hidden="1">Sheet1!#REF!</definedName>
    <definedName name="QB_ROW_657310" localSheetId="0" hidden="1">Sheet1!#REF!</definedName>
    <definedName name="QB_ROW_658010" localSheetId="0" hidden="1">Sheet1!#REF!</definedName>
    <definedName name="QB_ROW_658310" localSheetId="0" hidden="1">Sheet1!#REF!</definedName>
    <definedName name="QB_ROW_659010" localSheetId="0" hidden="1">Sheet1!#REF!</definedName>
    <definedName name="QB_ROW_659310" localSheetId="0" hidden="1">Sheet1!#REF!</definedName>
    <definedName name="QB_ROW_660010" localSheetId="0" hidden="1">Sheet1!#REF!</definedName>
    <definedName name="QB_ROW_660310" localSheetId="0" hidden="1">Sheet1!#REF!</definedName>
    <definedName name="QB_ROW_661010" localSheetId="0" hidden="1">Sheet1!#REF!</definedName>
    <definedName name="QB_ROW_661310" localSheetId="0" hidden="1">Sheet1!#REF!</definedName>
    <definedName name="QB_ROW_662010" localSheetId="0" hidden="1">Sheet1!#REF!</definedName>
    <definedName name="QB_ROW_662310" localSheetId="0" hidden="1">Sheet1!#REF!</definedName>
    <definedName name="QB_ROW_663010" localSheetId="0" hidden="1">Sheet1!#REF!</definedName>
    <definedName name="QB_ROW_663310" localSheetId="0" hidden="1">Sheet1!#REF!</definedName>
    <definedName name="QB_ROW_664010" localSheetId="0" hidden="1">Sheet1!#REF!</definedName>
    <definedName name="QB_ROW_664310" localSheetId="0" hidden="1">Sheet1!#REF!</definedName>
    <definedName name="QB_ROW_665010" localSheetId="0" hidden="1">Sheet1!#REF!</definedName>
    <definedName name="QB_ROW_665310" localSheetId="0" hidden="1">Sheet1!#REF!</definedName>
    <definedName name="QB_ROW_666010" localSheetId="0" hidden="1">Sheet1!#REF!</definedName>
    <definedName name="QB_ROW_666310" localSheetId="0" hidden="1">Sheet1!#REF!</definedName>
    <definedName name="QB_ROW_667010" localSheetId="0" hidden="1">Sheet1!#REF!</definedName>
    <definedName name="QB_ROW_667310" localSheetId="0" hidden="1">Sheet1!#REF!</definedName>
    <definedName name="QB_ROW_668010" localSheetId="0" hidden="1">Sheet1!#REF!</definedName>
    <definedName name="QB_ROW_668310" localSheetId="0" hidden="1">Sheet1!#REF!</definedName>
    <definedName name="QB_ROW_669010" localSheetId="0" hidden="1">Sheet1!#REF!</definedName>
    <definedName name="QB_ROW_669310" localSheetId="0" hidden="1">Sheet1!#REF!</definedName>
    <definedName name="QB_ROW_670010" localSheetId="0" hidden="1">Sheet1!#REF!</definedName>
    <definedName name="QB_ROW_670310" localSheetId="0" hidden="1">Sheet1!#REF!</definedName>
    <definedName name="QB_ROW_671010" localSheetId="0" hidden="1">Sheet1!#REF!</definedName>
    <definedName name="QB_ROW_671310" localSheetId="0" hidden="1">Sheet1!#REF!</definedName>
    <definedName name="QB_ROW_672010" localSheetId="0" hidden="1">Sheet1!#REF!</definedName>
    <definedName name="QB_ROW_672310" localSheetId="0" hidden="1">Sheet1!#REF!</definedName>
    <definedName name="QB_ROW_673010" localSheetId="0" hidden="1">Sheet1!#REF!</definedName>
    <definedName name="QB_ROW_673310" localSheetId="0" hidden="1">Sheet1!#REF!</definedName>
    <definedName name="QB_ROW_674010" localSheetId="0" hidden="1">Sheet1!#REF!</definedName>
    <definedName name="QB_ROW_674310" localSheetId="0" hidden="1">Sheet1!#REF!</definedName>
    <definedName name="QB_ROW_675010" localSheetId="0" hidden="1">Sheet1!#REF!</definedName>
    <definedName name="QB_ROW_675310" localSheetId="0" hidden="1">Sheet1!#REF!</definedName>
    <definedName name="QB_ROW_677010" localSheetId="0" hidden="1">Sheet1!#REF!</definedName>
    <definedName name="QB_ROW_677310" localSheetId="0" hidden="1">Sheet1!#REF!</definedName>
    <definedName name="QB_ROW_678010" localSheetId="0" hidden="1">Sheet1!#REF!</definedName>
    <definedName name="QB_ROW_678310" localSheetId="0" hidden="1">Sheet1!#REF!</definedName>
    <definedName name="QB_ROW_679010" localSheetId="0" hidden="1">Sheet1!#REF!</definedName>
    <definedName name="QB_ROW_679310" localSheetId="0" hidden="1">Sheet1!#REF!</definedName>
    <definedName name="QB_ROW_680010" localSheetId="0" hidden="1">Sheet1!#REF!</definedName>
    <definedName name="QB_ROW_680310" localSheetId="0" hidden="1">Sheet1!#REF!</definedName>
    <definedName name="QB_ROW_681010" localSheetId="0" hidden="1">Sheet1!#REF!</definedName>
    <definedName name="QB_ROW_681310" localSheetId="0" hidden="1">Sheet1!#REF!</definedName>
    <definedName name="QB_ROW_682010" localSheetId="0" hidden="1">Sheet1!#REF!</definedName>
    <definedName name="QB_ROW_682310" localSheetId="0" hidden="1">Sheet1!#REF!</definedName>
    <definedName name="QB_ROW_683010" localSheetId="0" hidden="1">Sheet1!#REF!</definedName>
    <definedName name="QB_ROW_683310" localSheetId="0" hidden="1">Sheet1!#REF!</definedName>
    <definedName name="QB_ROW_684010" localSheetId="0" hidden="1">Sheet1!#REF!</definedName>
    <definedName name="QB_ROW_684310" localSheetId="0" hidden="1">Sheet1!#REF!</definedName>
    <definedName name="QB_ROW_685010" localSheetId="0" hidden="1">Sheet1!#REF!</definedName>
    <definedName name="QB_ROW_685310" localSheetId="0" hidden="1">Sheet1!#REF!</definedName>
    <definedName name="QB_ROW_686010" localSheetId="0" hidden="1">Sheet1!#REF!</definedName>
    <definedName name="QB_ROW_686310" localSheetId="0" hidden="1">Sheet1!#REF!</definedName>
    <definedName name="QB_ROW_688010" localSheetId="0" hidden="1">Sheet1!#REF!</definedName>
    <definedName name="QB_ROW_688310" localSheetId="0" hidden="1">Sheet1!#REF!</definedName>
    <definedName name="QB_ROW_689010" localSheetId="0" hidden="1">Sheet1!#REF!</definedName>
    <definedName name="QB_ROW_689310" localSheetId="0" hidden="1">Sheet1!#REF!</definedName>
    <definedName name="QB_ROW_690010" localSheetId="0" hidden="1">Sheet1!#REF!</definedName>
    <definedName name="QB_ROW_690310" localSheetId="0" hidden="1">Sheet1!#REF!</definedName>
    <definedName name="QB_ROW_691010" localSheetId="0" hidden="1">Sheet1!#REF!</definedName>
    <definedName name="QB_ROW_691310" localSheetId="0" hidden="1">Sheet1!#REF!</definedName>
    <definedName name="QB_ROW_692010" localSheetId="0" hidden="1">Sheet1!#REF!</definedName>
    <definedName name="QB_ROW_692310" localSheetId="0" hidden="1">Sheet1!#REF!</definedName>
    <definedName name="QB_ROW_693010" localSheetId="0" hidden="1">Sheet1!#REF!</definedName>
    <definedName name="QB_ROW_693310" localSheetId="0" hidden="1">Sheet1!#REF!</definedName>
    <definedName name="QB_ROW_694010" localSheetId="0" hidden="1">Sheet1!#REF!</definedName>
    <definedName name="QB_ROW_694310" localSheetId="0" hidden="1">Sheet1!#REF!</definedName>
    <definedName name="QB_ROW_695010" localSheetId="0" hidden="1">Sheet1!#REF!</definedName>
    <definedName name="QB_ROW_695310" localSheetId="0" hidden="1">Sheet1!#REF!</definedName>
    <definedName name="QB_ROW_696010" localSheetId="0" hidden="1">Sheet1!#REF!</definedName>
    <definedName name="QB_ROW_696310" localSheetId="0" hidden="1">Sheet1!#REF!</definedName>
    <definedName name="QB_ROW_697010" localSheetId="0" hidden="1">Sheet1!#REF!</definedName>
    <definedName name="QB_ROW_697310" localSheetId="0" hidden="1">Sheet1!#REF!</definedName>
    <definedName name="QB_ROW_698010" localSheetId="0" hidden="1">Sheet1!#REF!</definedName>
    <definedName name="QB_ROW_698310" localSheetId="0" hidden="1">Sheet1!#REF!</definedName>
    <definedName name="QB_ROW_699010" localSheetId="0" hidden="1">Sheet1!#REF!</definedName>
    <definedName name="QB_ROW_699310" localSheetId="0" hidden="1">Sheet1!#REF!</definedName>
    <definedName name="QB_ROW_700010" localSheetId="0" hidden="1">Sheet1!#REF!</definedName>
    <definedName name="QB_ROW_700310" localSheetId="0" hidden="1">Sheet1!#REF!</definedName>
    <definedName name="QB_ROW_7010" localSheetId="0" hidden="1">Sheet1!#REF!</definedName>
    <definedName name="QB_ROW_701010" localSheetId="0" hidden="1">Sheet1!#REF!</definedName>
    <definedName name="QB_ROW_701310" localSheetId="0" hidden="1">Sheet1!#REF!</definedName>
    <definedName name="QB_ROW_702010" localSheetId="0" hidden="1">Sheet1!#REF!</definedName>
    <definedName name="QB_ROW_702310" localSheetId="0" hidden="1">Sheet1!#REF!</definedName>
    <definedName name="QB_ROW_703010" localSheetId="0" hidden="1">Sheet1!#REF!</definedName>
    <definedName name="QB_ROW_703310" localSheetId="0" hidden="1">Sheet1!#REF!</definedName>
    <definedName name="QB_ROW_704010" localSheetId="0" hidden="1">Sheet1!#REF!</definedName>
    <definedName name="QB_ROW_704310" localSheetId="0" hidden="1">Sheet1!#REF!</definedName>
    <definedName name="QB_ROW_705010" localSheetId="0" hidden="1">Sheet1!#REF!</definedName>
    <definedName name="QB_ROW_705310" localSheetId="0" hidden="1">Sheet1!#REF!</definedName>
    <definedName name="QB_ROW_706010" localSheetId="0" hidden="1">Sheet1!#REF!</definedName>
    <definedName name="QB_ROW_706310" localSheetId="0" hidden="1">Sheet1!#REF!</definedName>
    <definedName name="QB_ROW_7310" localSheetId="0" hidden="1">Sheet1!#REF!</definedName>
    <definedName name="QB_ROW_732010" localSheetId="0" hidden="1">Sheet1!#REF!</definedName>
    <definedName name="QB_ROW_732310" localSheetId="0" hidden="1">Sheet1!#REF!</definedName>
    <definedName name="QB_ROW_734010" localSheetId="0" hidden="1">Sheet1!#REF!</definedName>
    <definedName name="QB_ROW_734310" localSheetId="0" hidden="1">Sheet1!#REF!</definedName>
    <definedName name="QB_ROW_743010" localSheetId="0" hidden="1">Sheet1!#REF!</definedName>
    <definedName name="QB_ROW_743310" localSheetId="0" hidden="1">Sheet1!#REF!</definedName>
    <definedName name="QB_ROW_744010" localSheetId="0" hidden="1">Sheet1!#REF!</definedName>
    <definedName name="QB_ROW_744310" localSheetId="0" hidden="1">Sheet1!#REF!</definedName>
    <definedName name="QB_ROW_746010" localSheetId="0" hidden="1">Sheet1!#REF!</definedName>
    <definedName name="QB_ROW_746310" localSheetId="0" hidden="1">Sheet1!#REF!</definedName>
    <definedName name="QB_ROW_747010" localSheetId="0" hidden="1">Sheet1!#REF!</definedName>
    <definedName name="QB_ROW_747310" localSheetId="0" hidden="1">Sheet1!#REF!</definedName>
    <definedName name="QB_ROW_748010" localSheetId="0" hidden="1">Sheet1!#REF!</definedName>
    <definedName name="QB_ROW_748310" localSheetId="0" hidden="1">Sheet1!#REF!</definedName>
    <definedName name="QB_ROW_752010" localSheetId="0" hidden="1">Sheet1!#REF!</definedName>
    <definedName name="QB_ROW_752310" localSheetId="0" hidden="1">Sheet1!#REF!</definedName>
    <definedName name="QB_ROW_753010" localSheetId="0" hidden="1">Sheet1!#REF!</definedName>
    <definedName name="QB_ROW_753310" localSheetId="0" hidden="1">Sheet1!#REF!</definedName>
    <definedName name="QB_ROW_754010" localSheetId="0" hidden="1">Sheet1!#REF!</definedName>
    <definedName name="QB_ROW_754310" localSheetId="0" hidden="1">Sheet1!#REF!</definedName>
    <definedName name="QB_ROW_755010" localSheetId="0" hidden="1">Sheet1!#REF!</definedName>
    <definedName name="QB_ROW_755310" localSheetId="0" hidden="1">Sheet1!#REF!</definedName>
    <definedName name="QB_ROW_756010" localSheetId="0" hidden="1">Sheet1!#REF!</definedName>
    <definedName name="QB_ROW_756310" localSheetId="0" hidden="1">Sheet1!#REF!</definedName>
    <definedName name="QB_ROW_757010" localSheetId="0" hidden="1">Sheet1!#REF!</definedName>
    <definedName name="QB_ROW_757310" localSheetId="0" hidden="1">Sheet1!#REF!</definedName>
    <definedName name="QB_ROW_758010" localSheetId="0" hidden="1">Sheet1!#REF!</definedName>
    <definedName name="QB_ROW_758310" localSheetId="0" hidden="1">Sheet1!#REF!</definedName>
    <definedName name="QB_ROW_759010" localSheetId="0" hidden="1">Sheet1!#REF!</definedName>
    <definedName name="QB_ROW_759310" localSheetId="0" hidden="1">Sheet1!#REF!</definedName>
    <definedName name="QB_ROW_760010" localSheetId="0" hidden="1">Sheet1!#REF!</definedName>
    <definedName name="QB_ROW_760310" localSheetId="0" hidden="1">Sheet1!#REF!</definedName>
    <definedName name="QB_ROW_762010" localSheetId="0" hidden="1">Sheet1!#REF!</definedName>
    <definedName name="QB_ROW_762310" localSheetId="0" hidden="1">Sheet1!#REF!</definedName>
    <definedName name="QB_ROW_776010" localSheetId="0" hidden="1">Sheet1!#REF!</definedName>
    <definedName name="QB_ROW_776310" localSheetId="0" hidden="1">Sheet1!#REF!</definedName>
    <definedName name="QB_ROW_8010" localSheetId="0" hidden="1">Sheet1!#REF!</definedName>
    <definedName name="QB_ROW_8310" localSheetId="0" hidden="1">Sheet1!#REF!</definedName>
    <definedName name="QB_ROW_90010" localSheetId="0" hidden="1">Sheet1!#REF!</definedName>
    <definedName name="QB_ROW_9010" localSheetId="0" hidden="1">Sheet1!#REF!</definedName>
    <definedName name="QB_ROW_90310" localSheetId="0" hidden="1">Sheet1!#REF!</definedName>
    <definedName name="QB_ROW_91010" localSheetId="0" hidden="1">Sheet1!#REF!</definedName>
    <definedName name="QB_ROW_91310" localSheetId="0" hidden="1">Sheet1!#REF!</definedName>
    <definedName name="QB_ROW_92010" localSheetId="0" hidden="1">Sheet1!#REF!</definedName>
    <definedName name="QB_ROW_92310" localSheetId="0" hidden="1">Sheet1!#REF!</definedName>
    <definedName name="QB_ROW_93010" localSheetId="0" hidden="1">Sheet1!#REF!</definedName>
    <definedName name="QB_ROW_9310" localSheetId="0" hidden="1">Sheet1!#REF!</definedName>
    <definedName name="QB_ROW_93310" localSheetId="0" hidden="1">Sheet1!#REF!</definedName>
    <definedName name="QB_ROW_94010" localSheetId="0" hidden="1">Sheet1!#REF!</definedName>
    <definedName name="QB_ROW_94310" localSheetId="0" hidden="1">Sheet1!#REF!</definedName>
    <definedName name="QB_ROW_95010" localSheetId="0" hidden="1">Sheet1!#REF!</definedName>
    <definedName name="QB_ROW_95310" localSheetId="0" hidden="1">Sheet1!#REF!</definedName>
    <definedName name="QB_ROW_96010" localSheetId="0" hidden="1">Sheet1!#REF!</definedName>
    <definedName name="QB_ROW_96310" localSheetId="0" hidden="1">Sheet1!#REF!</definedName>
    <definedName name="QB_ROW_97010" localSheetId="0" hidden="1">Sheet1!#REF!</definedName>
    <definedName name="QB_ROW_97310" localSheetId="0" hidden="1">Sheet1!#REF!</definedName>
    <definedName name="QB_ROW_98010" localSheetId="0" hidden="1">Sheet1!#REF!</definedName>
    <definedName name="QB_ROW_98310" localSheetId="0" hidden="1">Sheet1!#REF!</definedName>
    <definedName name="QB_ROW_99010" localSheetId="0" hidden="1">Sheet1!#REF!</definedName>
    <definedName name="QB_ROW_99310" localSheetId="0" hidden="1">Sheet1!#REF!</definedName>
    <definedName name="QBCANSUPPORTUPDATE" localSheetId="0">TRUE</definedName>
    <definedName name="QBCOMPANYFILENAME" localSheetId="0">"\\FINANCE-2\QuickBooks\ACT - Copy\ACT - ACCOUNTS &amp; FINANCE.qbw"</definedName>
    <definedName name="QBENDDATE" localSheetId="0">20240531</definedName>
    <definedName name="QBHEADERSONSCREEN" localSheetId="0">FALSE</definedName>
    <definedName name="QBMETADATASIZE" localSheetId="0">7609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"0b6399d2e52542e9b4ac8984fbcee00d"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13</definedName>
    <definedName name="QBREPORTSUBCOLAXIS" localSheetId="0">0</definedName>
    <definedName name="QBREPORTTYPE" localSheetId="0">52</definedName>
    <definedName name="QBROWHEADERS" localSheetId="0">2</definedName>
    <definedName name="QBSTARTDATE" localSheetId="0">20240101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56" i="1" l="1"/>
  <c r="F1066" i="1" l="1"/>
  <c r="F1064" i="1"/>
  <c r="F1061" i="1"/>
  <c r="F1058" i="1"/>
  <c r="F1059" i="1" s="1"/>
  <c r="F1053" i="1"/>
  <c r="F1054" i="1" s="1"/>
  <c r="F1055" i="1" s="1"/>
  <c r="F1056" i="1" s="1"/>
  <c r="F1047" i="1"/>
  <c r="F1048" i="1" s="1"/>
  <c r="F1049" i="1" s="1"/>
  <c r="F1050" i="1" s="1"/>
  <c r="F1051" i="1" s="1"/>
  <c r="F1039" i="1"/>
  <c r="F1040" i="1" s="1"/>
  <c r="F1041" i="1" s="1"/>
  <c r="F1042" i="1" s="1"/>
  <c r="F1043" i="1" s="1"/>
  <c r="F1044" i="1" s="1"/>
  <c r="F1035" i="1"/>
  <c r="F1036" i="1" s="1"/>
  <c r="F1037" i="1" s="1"/>
  <c r="F1028" i="1"/>
  <c r="F1029" i="1" s="1"/>
  <c r="F1030" i="1" s="1"/>
  <c r="F1023" i="1"/>
  <c r="F1024" i="1" s="1"/>
  <c r="F1025" i="1" s="1"/>
  <c r="F1026" i="1" s="1"/>
  <c r="F1018" i="1"/>
  <c r="F1019" i="1" s="1"/>
  <c r="F1020" i="1" s="1"/>
  <c r="F1021" i="1" s="1"/>
  <c r="F1015" i="1"/>
  <c r="F1011" i="1"/>
  <c r="F1012" i="1" s="1"/>
  <c r="F1013" i="1" s="1"/>
  <c r="F1007" i="1"/>
  <c r="F1008" i="1" s="1"/>
  <c r="F1009" i="1" s="1"/>
  <c r="F1004" i="1"/>
  <c r="F1005" i="1" s="1"/>
  <c r="F996" i="1"/>
  <c r="F997" i="1" s="1"/>
  <c r="F998" i="1" s="1"/>
  <c r="F999" i="1" s="1"/>
  <c r="F994" i="1"/>
  <c r="F989" i="1"/>
  <c r="F990" i="1" s="1"/>
  <c r="F991" i="1" s="1"/>
  <c r="F992" i="1" s="1"/>
  <c r="F986" i="1"/>
  <c r="F982" i="1"/>
  <c r="F980" i="1"/>
  <c r="F974" i="1"/>
  <c r="F975" i="1" s="1"/>
  <c r="F976" i="1" s="1"/>
  <c r="F977" i="1" s="1"/>
  <c r="F972" i="1"/>
  <c r="F966" i="1"/>
  <c r="F967" i="1" s="1"/>
  <c r="F968" i="1" s="1"/>
  <c r="F969" i="1" s="1"/>
  <c r="F963" i="1"/>
  <c r="F964" i="1" s="1"/>
  <c r="F959" i="1"/>
  <c r="F957" i="1"/>
  <c r="F953" i="1"/>
  <c r="F947" i="1"/>
  <c r="F948" i="1" s="1"/>
  <c r="F944" i="1"/>
  <c r="F945" i="1" s="1"/>
  <c r="F939" i="1"/>
  <c r="F940" i="1" s="1"/>
  <c r="F941" i="1" s="1"/>
  <c r="F935" i="1"/>
  <c r="F936" i="1" s="1"/>
  <c r="F937" i="1" s="1"/>
  <c r="F930" i="1"/>
  <c r="F931" i="1" s="1"/>
  <c r="F932" i="1" s="1"/>
  <c r="F933" i="1" s="1"/>
  <c r="F925" i="1"/>
  <c r="F926" i="1" s="1"/>
  <c r="F927" i="1" s="1"/>
  <c r="F928" i="1" s="1"/>
  <c r="F919" i="1"/>
  <c r="F920" i="1" s="1"/>
  <c r="F921" i="1" s="1"/>
  <c r="F917" i="1"/>
  <c r="F913" i="1"/>
  <c r="F914" i="1" s="1"/>
  <c r="F915" i="1" s="1"/>
  <c r="F907" i="1"/>
  <c r="F908" i="1" s="1"/>
  <c r="F909" i="1" s="1"/>
  <c r="F910" i="1" s="1"/>
  <c r="F902" i="1"/>
  <c r="F903" i="1" s="1"/>
  <c r="F900" i="1"/>
  <c r="F894" i="1"/>
  <c r="F895" i="1" s="1"/>
  <c r="F896" i="1" s="1"/>
  <c r="F897" i="1" s="1"/>
  <c r="E890" i="1"/>
  <c r="F888" i="1"/>
  <c r="F889" i="1" s="1"/>
  <c r="F890" i="1" s="1"/>
  <c r="F885" i="1"/>
  <c r="F880" i="1"/>
  <c r="F881" i="1" s="1"/>
  <c r="F882" i="1" s="1"/>
  <c r="F883" i="1" s="1"/>
  <c r="F877" i="1"/>
  <c r="F873" i="1"/>
  <c r="F874" i="1" s="1"/>
  <c r="F875" i="1" s="1"/>
  <c r="F869" i="1"/>
  <c r="F866" i="1"/>
  <c r="F867" i="1" s="1"/>
  <c r="F863" i="1"/>
  <c r="F859" i="1"/>
  <c r="F860" i="1" s="1"/>
  <c r="F861" i="1" s="1"/>
  <c r="F857" i="1"/>
  <c r="F853" i="1"/>
  <c r="F849" i="1"/>
  <c r="F850" i="1" s="1"/>
  <c r="F851" i="1" s="1"/>
  <c r="F841" i="1"/>
  <c r="F842" i="1" s="1"/>
  <c r="F843" i="1" s="1"/>
  <c r="F837" i="1"/>
  <c r="F838" i="1" s="1"/>
  <c r="F839" i="1" s="1"/>
  <c r="F831" i="1"/>
  <c r="F827" i="1"/>
  <c r="F824" i="1"/>
  <c r="F825" i="1" s="1"/>
  <c r="F821" i="1"/>
  <c r="F822" i="1" s="1"/>
  <c r="F810" i="1"/>
  <c r="F811" i="1" s="1"/>
  <c r="F812" i="1" s="1"/>
  <c r="F813" i="1" s="1"/>
  <c r="F814" i="1" s="1"/>
  <c r="F807" i="1"/>
  <c r="F808" i="1" s="1"/>
  <c r="F804" i="1"/>
  <c r="F801" i="1"/>
  <c r="F802" i="1" s="1"/>
  <c r="F798" i="1"/>
  <c r="F799" i="1" s="1"/>
  <c r="F795" i="1"/>
  <c r="F790" i="1"/>
  <c r="F791" i="1" s="1"/>
  <c r="F792" i="1" s="1"/>
  <c r="F784" i="1"/>
  <c r="F785" i="1" s="1"/>
  <c r="F780" i="1"/>
  <c r="F781" i="1" s="1"/>
  <c r="F782" i="1" s="1"/>
  <c r="F777" i="1"/>
  <c r="F772" i="1"/>
  <c r="F773" i="1" s="1"/>
  <c r="F769" i="1"/>
  <c r="F770" i="1" s="1"/>
  <c r="F762" i="1"/>
  <c r="F758" i="1"/>
  <c r="F759" i="1" s="1"/>
  <c r="F755" i="1"/>
  <c r="F752" i="1"/>
  <c r="F753" i="1" s="1"/>
  <c r="F745" i="1"/>
  <c r="F746" i="1" s="1"/>
  <c r="F747" i="1" s="1"/>
  <c r="F748" i="1" s="1"/>
  <c r="F749" i="1" s="1"/>
  <c r="F750" i="1" s="1"/>
  <c r="F741" i="1"/>
  <c r="F742" i="1" s="1"/>
  <c r="F733" i="1"/>
  <c r="F730" i="1"/>
  <c r="F731" i="1" s="1"/>
  <c r="F726" i="1"/>
  <c r="F727" i="1" s="1"/>
  <c r="F724" i="1"/>
  <c r="F720" i="1"/>
  <c r="F717" i="1"/>
  <c r="F711" i="1"/>
  <c r="F712" i="1" s="1"/>
  <c r="F713" i="1" s="1"/>
  <c r="F714" i="1" s="1"/>
  <c r="F708" i="1"/>
  <c r="F709" i="1" s="1"/>
  <c r="F706" i="1"/>
  <c r="F703" i="1"/>
  <c r="F704" i="1" s="1"/>
  <c r="F701" i="1"/>
  <c r="F698" i="1"/>
  <c r="F690" i="1"/>
  <c r="F688" i="1"/>
  <c r="F685" i="1"/>
  <c r="F686" i="1" s="1"/>
  <c r="F682" i="1"/>
  <c r="F683" i="1" s="1"/>
  <c r="F678" i="1"/>
  <c r="F679" i="1" s="1"/>
  <c r="F674" i="1"/>
  <c r="F675" i="1" s="1"/>
  <c r="F676" i="1" s="1"/>
  <c r="F671" i="1"/>
  <c r="F672" i="1" s="1"/>
  <c r="F669" i="1"/>
  <c r="F664" i="1"/>
  <c r="F665" i="1" s="1"/>
  <c r="F666" i="1" s="1"/>
  <c r="F667" i="1" s="1"/>
  <c r="F661" i="1"/>
  <c r="F658" i="1"/>
  <c r="F659" i="1" s="1"/>
  <c r="F655" i="1"/>
  <c r="F650" i="1"/>
  <c r="F651" i="1" s="1"/>
  <c r="F652" i="1" s="1"/>
  <c r="F653" i="1" s="1"/>
  <c r="F647" i="1"/>
  <c r="F648" i="1" s="1"/>
  <c r="F644" i="1"/>
  <c r="F645" i="1" s="1"/>
  <c r="F642" i="1"/>
  <c r="F638" i="1"/>
  <c r="F639" i="1" s="1"/>
  <c r="F640" i="1" s="1"/>
  <c r="F633" i="1"/>
  <c r="F634" i="1" s="1"/>
  <c r="F635" i="1" s="1"/>
  <c r="F636" i="1" s="1"/>
  <c r="F629" i="1"/>
  <c r="F630" i="1" s="1"/>
  <c r="F631" i="1" s="1"/>
  <c r="F625" i="1"/>
  <c r="F626" i="1" s="1"/>
  <c r="F627" i="1" s="1"/>
  <c r="F623" i="1"/>
  <c r="F620" i="1"/>
  <c r="F621" i="1" s="1"/>
  <c r="F616" i="1"/>
  <c r="F617" i="1" s="1"/>
  <c r="F614" i="1"/>
  <c r="F610" i="1"/>
  <c r="F611" i="1" s="1"/>
  <c r="F605" i="1"/>
  <c r="F606" i="1" s="1"/>
  <c r="F607" i="1" s="1"/>
  <c r="F608" i="1" s="1"/>
  <c r="F601" i="1"/>
  <c r="F602" i="1" s="1"/>
  <c r="F603" i="1" s="1"/>
  <c r="F599" i="1"/>
  <c r="F595" i="1"/>
  <c r="F596" i="1" s="1"/>
  <c r="F597" i="1" s="1"/>
  <c r="F590" i="1"/>
  <c r="F591" i="1" s="1"/>
  <c r="F586" i="1"/>
  <c r="F587" i="1" s="1"/>
  <c r="F582" i="1"/>
  <c r="F583" i="1" s="1"/>
  <c r="F584" i="1" s="1"/>
  <c r="F580" i="1"/>
  <c r="F576" i="1"/>
  <c r="F577" i="1" s="1"/>
  <c r="F574" i="1"/>
  <c r="F569" i="1"/>
  <c r="F567" i="1"/>
  <c r="F564" i="1"/>
  <c r="F565" i="1" s="1"/>
  <c r="F562" i="1"/>
  <c r="F558" i="1"/>
  <c r="F559" i="1" s="1"/>
  <c r="F555" i="1"/>
  <c r="F556" i="1" s="1"/>
  <c r="F551" i="1"/>
  <c r="F552" i="1" s="1"/>
  <c r="F553" i="1" s="1"/>
  <c r="F546" i="1"/>
  <c r="F547" i="1" s="1"/>
  <c r="F548" i="1" s="1"/>
  <c r="F549" i="1" s="1"/>
  <c r="F542" i="1"/>
  <c r="F543" i="1" s="1"/>
  <c r="F544" i="1" s="1"/>
  <c r="F540" i="1"/>
  <c r="F538" i="1"/>
  <c r="F535" i="1"/>
  <c r="F536" i="1" s="1"/>
  <c r="F532" i="1"/>
  <c r="F533" i="1" s="1"/>
  <c r="F530" i="1"/>
  <c r="F526" i="1"/>
  <c r="F527" i="1" s="1"/>
  <c r="F523" i="1"/>
  <c r="F517" i="1"/>
  <c r="F518" i="1" s="1"/>
  <c r="F513" i="1"/>
  <c r="F514" i="1" s="1"/>
  <c r="F510" i="1"/>
  <c r="F505" i="1"/>
  <c r="F506" i="1" s="1"/>
  <c r="F507" i="1" s="1"/>
  <c r="F503" i="1"/>
  <c r="F499" i="1"/>
  <c r="F500" i="1" s="1"/>
  <c r="F501" i="1" s="1"/>
  <c r="F497" i="1"/>
  <c r="F494" i="1"/>
  <c r="F495" i="1" s="1"/>
  <c r="F489" i="1"/>
  <c r="F490" i="1" s="1"/>
  <c r="F491" i="1" s="1"/>
  <c r="F492" i="1" s="1"/>
  <c r="F487" i="1"/>
  <c r="F484" i="1"/>
  <c r="F485" i="1" s="1"/>
  <c r="F482" i="1"/>
  <c r="F479" i="1"/>
  <c r="F477" i="1"/>
  <c r="F473" i="1"/>
  <c r="F474" i="1" s="1"/>
  <c r="F475" i="1" s="1"/>
  <c r="F468" i="1"/>
  <c r="F469" i="1" s="1"/>
  <c r="F470" i="1" s="1"/>
  <c r="F471" i="1" s="1"/>
  <c r="F464" i="1"/>
  <c r="F465" i="1" s="1"/>
  <c r="F466" i="1" s="1"/>
  <c r="F460" i="1"/>
  <c r="F461" i="1" s="1"/>
  <c r="F462" i="1" s="1"/>
  <c r="F455" i="1"/>
  <c r="F456" i="1" s="1"/>
  <c r="F452" i="1"/>
  <c r="F453" i="1" s="1"/>
  <c r="F450" i="1"/>
  <c r="F445" i="1"/>
  <c r="F446" i="1" s="1"/>
  <c r="F447" i="1" s="1"/>
  <c r="F448" i="1" s="1"/>
  <c r="F443" i="1"/>
  <c r="F437" i="1"/>
  <c r="F438" i="1" s="1"/>
  <c r="F439" i="1" s="1"/>
  <c r="F440" i="1" s="1"/>
  <c r="F441" i="1" s="1"/>
  <c r="F431" i="1"/>
  <c r="F432" i="1" s="1"/>
  <c r="F433" i="1" s="1"/>
  <c r="F428" i="1"/>
  <c r="F425" i="1"/>
  <c r="F423" i="1"/>
  <c r="F420" i="1"/>
  <c r="F421" i="1" s="1"/>
  <c r="F414" i="1"/>
  <c r="F415" i="1" s="1"/>
  <c r="F411" i="1"/>
  <c r="F412" i="1" s="1"/>
  <c r="F405" i="1"/>
  <c r="F406" i="1" s="1"/>
  <c r="F399" i="1"/>
  <c r="F400" i="1" s="1"/>
  <c r="F401" i="1" s="1"/>
  <c r="F402" i="1" s="1"/>
  <c r="F395" i="1"/>
  <c r="F396" i="1" s="1"/>
  <c r="F392" i="1"/>
  <c r="F393" i="1" s="1"/>
  <c r="F387" i="1"/>
  <c r="F388" i="1" s="1"/>
  <c r="F389" i="1" s="1"/>
  <c r="F390" i="1" s="1"/>
  <c r="F379" i="1"/>
  <c r="F380" i="1" s="1"/>
  <c r="F381" i="1" s="1"/>
  <c r="F382" i="1" s="1"/>
  <c r="F371" i="1"/>
  <c r="F372" i="1" s="1"/>
  <c r="F373" i="1" s="1"/>
  <c r="F374" i="1" s="1"/>
  <c r="F367" i="1"/>
  <c r="F368" i="1" s="1"/>
  <c r="F363" i="1"/>
  <c r="F364" i="1" s="1"/>
  <c r="F365" i="1" s="1"/>
  <c r="F356" i="1"/>
  <c r="F357" i="1" s="1"/>
  <c r="F354" i="1"/>
  <c r="F352" i="1"/>
  <c r="F350" i="1"/>
  <c r="F348" i="1"/>
  <c r="F342" i="1"/>
  <c r="F343" i="1" s="1"/>
  <c r="F344" i="1" s="1"/>
  <c r="F340" i="1"/>
  <c r="F335" i="1"/>
  <c r="F336" i="1" s="1"/>
  <c r="F337" i="1" s="1"/>
  <c r="F332" i="1"/>
  <c r="F333" i="1" s="1"/>
  <c r="F330" i="1"/>
  <c r="F323" i="1"/>
  <c r="F324" i="1" s="1"/>
  <c r="F325" i="1" s="1"/>
  <c r="F326" i="1" s="1"/>
  <c r="F315" i="1"/>
  <c r="F312" i="1"/>
  <c r="F309" i="1"/>
  <c r="F310" i="1" s="1"/>
  <c r="F306" i="1"/>
  <c r="F307" i="1" s="1"/>
  <c r="F303" i="1"/>
  <c r="F304" i="1" s="1"/>
  <c r="F294" i="1"/>
  <c r="F295" i="1" s="1"/>
  <c r="F296" i="1" s="1"/>
  <c r="F297" i="1" s="1"/>
  <c r="F298" i="1" s="1"/>
  <c r="F292" i="1"/>
  <c r="F287" i="1"/>
  <c r="F288" i="1" s="1"/>
  <c r="F289" i="1" s="1"/>
  <c r="F283" i="1"/>
  <c r="F279" i="1"/>
  <c r="F277" i="1"/>
  <c r="F275" i="1"/>
  <c r="F273" i="1"/>
  <c r="F270" i="1"/>
  <c r="F267" i="1"/>
  <c r="F268" i="1" s="1"/>
  <c r="F261" i="1"/>
  <c r="F262" i="1" s="1"/>
  <c r="F263" i="1" s="1"/>
  <c r="F264" i="1" s="1"/>
  <c r="F251" i="1"/>
  <c r="F252" i="1" s="1"/>
  <c r="F253" i="1" s="1"/>
  <c r="F254" i="1" s="1"/>
  <c r="F247" i="1"/>
  <c r="F241" i="1"/>
  <c r="F242" i="1" s="1"/>
  <c r="F243" i="1" s="1"/>
  <c r="F244" i="1" s="1"/>
  <c r="F245" i="1" s="1"/>
  <c r="F235" i="1"/>
  <c r="F233" i="1"/>
  <c r="F228" i="1"/>
  <c r="F225" i="1"/>
  <c r="F226" i="1" s="1"/>
  <c r="F221" i="1"/>
  <c r="F222" i="1" s="1"/>
  <c r="F223" i="1" s="1"/>
  <c r="F218" i="1"/>
  <c r="F214" i="1"/>
  <c r="F208" i="1"/>
  <c r="F209" i="1" s="1"/>
  <c r="F210" i="1" s="1"/>
  <c r="F206" i="1"/>
  <c r="F204" i="1"/>
  <c r="F200" i="1"/>
  <c r="F201" i="1" s="1"/>
  <c r="F202" i="1" s="1"/>
  <c r="F196" i="1"/>
  <c r="F197" i="1" s="1"/>
  <c r="F191" i="1"/>
  <c r="F192" i="1" s="1"/>
  <c r="F193" i="1" s="1"/>
  <c r="F194" i="1" s="1"/>
  <c r="F186" i="1"/>
  <c r="F187" i="1" s="1"/>
  <c r="F188" i="1" s="1"/>
  <c r="F189" i="1" s="1"/>
  <c r="F184" i="1"/>
  <c r="F180" i="1"/>
  <c r="F181" i="1" s="1"/>
  <c r="F182" i="1" s="1"/>
  <c r="F177" i="1"/>
  <c r="F178" i="1" s="1"/>
  <c r="F174" i="1"/>
  <c r="F175" i="1" s="1"/>
  <c r="F172" i="1"/>
  <c r="F167" i="1"/>
  <c r="F168" i="1" s="1"/>
  <c r="F161" i="1"/>
  <c r="F162" i="1" s="1"/>
  <c r="F163" i="1" s="1"/>
  <c r="F164" i="1" s="1"/>
  <c r="F165" i="1" s="1"/>
  <c r="F157" i="1"/>
  <c r="F158" i="1" s="1"/>
  <c r="F155" i="1"/>
  <c r="F153" i="1"/>
  <c r="F150" i="1"/>
  <c r="F148" i="1"/>
  <c r="F145" i="1"/>
  <c r="F146" i="1" s="1"/>
  <c r="F141" i="1"/>
  <c r="F142" i="1" s="1"/>
  <c r="F143" i="1" s="1"/>
  <c r="F137" i="1"/>
  <c r="F138" i="1" s="1"/>
  <c r="F139" i="1" s="1"/>
  <c r="F133" i="1"/>
  <c r="F134" i="1" s="1"/>
  <c r="F129" i="1"/>
  <c r="F126" i="1"/>
  <c r="F127" i="1" s="1"/>
  <c r="F122" i="1"/>
  <c r="F123" i="1" s="1"/>
  <c r="F124" i="1" s="1"/>
  <c r="F118" i="1"/>
  <c r="F119" i="1" s="1"/>
  <c r="F120" i="1" s="1"/>
  <c r="F114" i="1"/>
  <c r="F115" i="1" s="1"/>
  <c r="F116" i="1" s="1"/>
  <c r="F111" i="1"/>
  <c r="F112" i="1" s="1"/>
  <c r="F108" i="1"/>
  <c r="F106" i="1"/>
  <c r="E104" i="1"/>
  <c r="F98" i="1"/>
  <c r="F99" i="1" s="1"/>
  <c r="F100" i="1" s="1"/>
  <c r="F101" i="1" s="1"/>
  <c r="F102" i="1" s="1"/>
  <c r="F103" i="1" s="1"/>
  <c r="F104" i="1" s="1"/>
  <c r="F96" i="1"/>
  <c r="E94" i="1"/>
  <c r="F91" i="1"/>
  <c r="F92" i="1" s="1"/>
  <c r="F93" i="1" s="1"/>
  <c r="F94" i="1" s="1"/>
  <c r="E89" i="1"/>
  <c r="F80" i="1"/>
  <c r="F81" i="1" s="1"/>
  <c r="F82" i="1" s="1"/>
  <c r="F83" i="1" s="1"/>
  <c r="F84" i="1" s="1"/>
  <c r="F85" i="1" s="1"/>
  <c r="F86" i="1" s="1"/>
  <c r="F87" i="1" s="1"/>
  <c r="F88" i="1" s="1"/>
  <c r="F89" i="1" s="1"/>
  <c r="F78" i="1"/>
  <c r="E76" i="1"/>
  <c r="F74" i="1"/>
  <c r="F75" i="1" s="1"/>
  <c r="F76" i="1" s="1"/>
  <c r="E72" i="1"/>
  <c r="F70" i="1"/>
  <c r="F71" i="1" s="1"/>
  <c r="F72" i="1" s="1"/>
  <c r="E68" i="1"/>
  <c r="F66" i="1"/>
  <c r="F67" i="1" s="1"/>
  <c r="F68" i="1" s="1"/>
  <c r="E64" i="1"/>
  <c r="F62" i="1"/>
  <c r="F63" i="1" s="1"/>
  <c r="F64" i="1" s="1"/>
  <c r="E60" i="1"/>
  <c r="F58" i="1"/>
  <c r="F59" i="1" s="1"/>
  <c r="F60" i="1" s="1"/>
  <c r="E56" i="1"/>
  <c r="F54" i="1"/>
  <c r="F55" i="1" s="1"/>
  <c r="F56" i="1" s="1"/>
  <c r="E52" i="1"/>
  <c r="F50" i="1"/>
  <c r="F51" i="1" s="1"/>
  <c r="F52" i="1" s="1"/>
  <c r="E48" i="1"/>
  <c r="F46" i="1"/>
  <c r="F47" i="1" s="1"/>
  <c r="F48" i="1" s="1"/>
  <c r="E44" i="1"/>
  <c r="F42" i="1"/>
  <c r="F43" i="1" s="1"/>
  <c r="F44" i="1" s="1"/>
  <c r="E40" i="1"/>
  <c r="F38" i="1"/>
  <c r="F39" i="1" s="1"/>
  <c r="F40" i="1" s="1"/>
  <c r="E36" i="1"/>
  <c r="F34" i="1"/>
  <c r="F35" i="1" s="1"/>
  <c r="F36" i="1" s="1"/>
  <c r="E32" i="1"/>
  <c r="F31" i="1"/>
  <c r="F32" i="1" s="1"/>
  <c r="F29" i="1"/>
  <c r="E27" i="1"/>
  <c r="F25" i="1"/>
  <c r="F26" i="1" s="1"/>
  <c r="F27" i="1" s="1"/>
  <c r="E23" i="1"/>
  <c r="F22" i="1"/>
  <c r="F23" i="1" s="1"/>
  <c r="F20" i="1"/>
  <c r="F18" i="1"/>
  <c r="F14" i="1"/>
  <c r="F15" i="1" s="1"/>
  <c r="F16" i="1" s="1"/>
  <c r="F10" i="1"/>
  <c r="F11" i="1" s="1"/>
  <c r="F8" i="1"/>
  <c r="E6" i="1"/>
  <c r="F6" i="1"/>
  <c r="E1067" i="1" l="1"/>
  <c r="F1067" i="1"/>
</calcChain>
</file>

<file path=xl/sharedStrings.xml><?xml version="1.0" encoding="utf-8"?>
<sst xmlns="http://schemas.openxmlformats.org/spreadsheetml/2006/main" count="2034" uniqueCount="906">
  <si>
    <t>Type</t>
  </si>
  <si>
    <t>Date</t>
  </si>
  <si>
    <t>Amount</t>
  </si>
  <si>
    <t>Balance</t>
  </si>
  <si>
    <t>Abatesi Yvonne-ACT2016BA0028</t>
  </si>
  <si>
    <t>Adeyemi Temidayo-PGDTLC01/0052/22</t>
  </si>
  <si>
    <t>Agaba Fred B-ACT2017BA0026</t>
  </si>
  <si>
    <t>Agaba Rene-BATCLC01/002/22</t>
  </si>
  <si>
    <t>AHABWE  Emmanuel-PGDTLC01/0020/23</t>
  </si>
  <si>
    <t>Albert Paul Moifula- PGDTLC01/019/23</t>
  </si>
  <si>
    <t>Amina Marie Aime</t>
  </si>
  <si>
    <t>Total Amina Marie Aime</t>
  </si>
  <si>
    <t>ANLM- FAMILY CENTER</t>
  </si>
  <si>
    <t>Total ANLM- FAMILY CENTER</t>
  </si>
  <si>
    <t>ANLM-ADMIN</t>
  </si>
  <si>
    <t>Total ANLM-ADMIN</t>
  </si>
  <si>
    <t>ANLM-CSP BGR</t>
  </si>
  <si>
    <t>Total ANLM-CSP BGR</t>
  </si>
  <si>
    <t>ANLM-CSP GEN</t>
  </si>
  <si>
    <t>Total ANLM-CSP GEN</t>
  </si>
  <si>
    <t>ANLM-CSP GSR</t>
  </si>
  <si>
    <t>Total ANLM-CSP GSR</t>
  </si>
  <si>
    <t>ANLM-CSP HUYE</t>
  </si>
  <si>
    <t>Total ANLM-CSP HUYE</t>
  </si>
  <si>
    <t>ANLM-CSP KGL</t>
  </si>
  <si>
    <t>Total ANLM-CSP KGL</t>
  </si>
  <si>
    <t>ANLM-CSP KGY A</t>
  </si>
  <si>
    <t>Total ANLM-CSP KGY A</t>
  </si>
  <si>
    <t>ANLM-CSP KGY B</t>
  </si>
  <si>
    <t>Total ANLM-CSP KGY B</t>
  </si>
  <si>
    <t>ANLM-CSP KRGZ</t>
  </si>
  <si>
    <t>Total ANLM-CSP KRGZ</t>
  </si>
  <si>
    <t>ANLM-CSP KYZ</t>
  </si>
  <si>
    <t>Total ANLM-CSP KYZ</t>
  </si>
  <si>
    <t>ANLM-CSP NGTR</t>
  </si>
  <si>
    <t>Total ANLM-CSP NGTR</t>
  </si>
  <si>
    <t>ANLM-CSP NYGB</t>
  </si>
  <si>
    <t>Total ANLM-CSP NYGB</t>
  </si>
  <si>
    <t>ANLM-CSP NYM</t>
  </si>
  <si>
    <t>Total ANLM-CSP NYM</t>
  </si>
  <si>
    <t>ANLM-CSP RBV</t>
  </si>
  <si>
    <t>Total ANLM-CSP RBV</t>
  </si>
  <si>
    <t>ANLM-ECS</t>
  </si>
  <si>
    <t>Total ANLM-ECS</t>
  </si>
  <si>
    <t>ANLM-iLead</t>
  </si>
  <si>
    <t>Total ANLM-iLead</t>
  </si>
  <si>
    <t>ANLM-NLBC</t>
  </si>
  <si>
    <t>Total ANLM-NLBC</t>
  </si>
  <si>
    <t>ANLM-RCS</t>
  </si>
  <si>
    <t>Total ANLM-RCS</t>
  </si>
  <si>
    <t>ANLM MISSION</t>
  </si>
  <si>
    <t>Total ANLM MISSION</t>
  </si>
  <si>
    <t>Anna Kyomugisha</t>
  </si>
  <si>
    <t>Total Anna Kyomugisha</t>
  </si>
  <si>
    <t>BAGIRINKA Betty-PGDTLC01/0045/22</t>
  </si>
  <si>
    <t>Total BAGIRINKA Betty-PGDTLC01/0045/22</t>
  </si>
  <si>
    <t>BAHATI  Geoffrey- BATCLC01/004/24</t>
  </si>
  <si>
    <t>BAHIRE  EUGENE- PGDTLC01/021/21</t>
  </si>
  <si>
    <t>BAMURANGE  Annet- BATCLC01/009/24</t>
  </si>
  <si>
    <t>BAMUYUGIRE  Benitha- PGDTLC01/008/23</t>
  </si>
  <si>
    <t>BARIGYE  Vincent-BATCLC01/0010/22</t>
  </si>
  <si>
    <t>BATARINGAYA  Tom- PGDTLC01/005/24</t>
  </si>
  <si>
    <t>BATITONDA  Felicien-PGDTLC01/011/22</t>
  </si>
  <si>
    <t>BAVUMIRAGIRA  Jean C- ACT2017BA0028</t>
  </si>
  <si>
    <t>BAYIGAMBA  Jean Louis-PGDTLC01/006/22</t>
  </si>
  <si>
    <t>BAYINGANA JOHN ACT 2015 BA00026</t>
  </si>
  <si>
    <t>BAZATSINDA  Godson- BATCLC01/008/23</t>
  </si>
  <si>
    <t>BEN SEKYONDWA-PGDTLC01/0035/22</t>
  </si>
  <si>
    <t>BESTMAN  Garbey R.g-BATCLC01/0045/22</t>
  </si>
  <si>
    <t>BIGIRIMANA  Paul- PGDTLC01/031/24</t>
  </si>
  <si>
    <t>Bigirimana Fiston-BATCLC01/025/21</t>
  </si>
  <si>
    <t>BIKORIMANA  Emmanuel- BATCLC01/011/23</t>
  </si>
  <si>
    <t>BIKORIMANA  Janvier-PGDTLCO1/0006/23</t>
  </si>
  <si>
    <t>BINYONYO  Fidele-BATCLC01/061/21</t>
  </si>
  <si>
    <t>Birikunzira Evariste-BATCLC01/056/21</t>
  </si>
  <si>
    <t>BIRONDWA  Sam-PGDTLC01/0023/22</t>
  </si>
  <si>
    <t>BISORE Ascof- BATCLC01/000/24</t>
  </si>
  <si>
    <t>BIZIMANA  Alfred-BATCLC01/070/21</t>
  </si>
  <si>
    <t>BIZIMANA  Mvukira- BATCLC01/013/24</t>
  </si>
  <si>
    <t>BIZIMANA  Tite-BATCLC01/066/21</t>
  </si>
  <si>
    <t>BUGABO  Assumpta-ACT2016BA0013</t>
  </si>
  <si>
    <t>BUHAGARI  James-ACT2018BA0043</t>
  </si>
  <si>
    <t>BUSINGE  Sharon-PGDTLC01/0049/22</t>
  </si>
  <si>
    <t>BUYENGE  Elias-BATCLC01/054/21</t>
  </si>
  <si>
    <t>BUYINZA  Fred-BATCLC01/027/21</t>
  </si>
  <si>
    <t>Byusa Alphonsine- ACT2017BA0036</t>
  </si>
  <si>
    <t>CYIZA EMMANUEL PGDTLC01/006/21</t>
  </si>
  <si>
    <t>CYOMUGISHA  Peace- BATCLC01/019/24</t>
  </si>
  <si>
    <t>CYUSA  Steven-BATCLC01/0037/22</t>
  </si>
  <si>
    <t>DAVID  DUNCAN  AHEBWA-BATCLC01/0001/23</t>
  </si>
  <si>
    <t>DUFITUMUKIZA  Moses-PGDTLCO1/0008/23</t>
  </si>
  <si>
    <t>DUSABIMANA  Emile-BATCLC01/019/21</t>
  </si>
  <si>
    <t>DUSABIMANA  Gilbert- PGDTLC01/004/22</t>
  </si>
  <si>
    <t>DUSENGIMANA  Jean Claude- BATCLC01/005/23</t>
  </si>
  <si>
    <t>DUSHIMIMANA  Benjamin-BATCLC01/0032/22</t>
  </si>
  <si>
    <t>DUSHIMIMANA  Bosco- ACT2016BA0032</t>
  </si>
  <si>
    <t>DUSHIMIMANA  Doline-ACT2016BA0023</t>
  </si>
  <si>
    <t>EMMANUEL KWIZERA- ACT 2017 BA0034</t>
  </si>
  <si>
    <t>EREGWA EDWIN Akombo- PGDTLC01/010/22</t>
  </si>
  <si>
    <t>FESTUS  Emmanuel Jartu- PGDTLC01/0056/22</t>
  </si>
  <si>
    <t>FURAHA  Emmanuel- PGDTLC01/013/23</t>
  </si>
  <si>
    <t>GABO  Jules- PGDTLC01/0024/23</t>
  </si>
  <si>
    <t>GAGA  Joseph- PGDTLC01/007/24</t>
  </si>
  <si>
    <t>GAHIGANA  Sam- PGDTLC01/021/23</t>
  </si>
  <si>
    <t>GAHIGI  Godfrey-ACT2016BA0009</t>
  </si>
  <si>
    <t>GAHONGAYIRE FATUMA-PGDTLCO1/0021/23</t>
  </si>
  <si>
    <t>GAKUNDE  Musoni Felix- PGDTLC01/0043/22</t>
  </si>
  <si>
    <t>GAKURU  Edouard- PGDTLC01/0030/22</t>
  </si>
  <si>
    <t>GAKWERERE  ISAIE-BATCLC01/058/21</t>
  </si>
  <si>
    <t>GASANA  CYURINYANA Diane- PGDTLC01/018/23</t>
  </si>
  <si>
    <t>GASASIRA  Patrick- ACT2016BA0011</t>
  </si>
  <si>
    <t>GASASIRA  Rugamba Serge-BATCLC01/0043/22</t>
  </si>
  <si>
    <t>GASASIRA Eliphaz-ACT2018BA0010</t>
  </si>
  <si>
    <t>GASORE  Appolinaire-BATCLC01/080/21</t>
  </si>
  <si>
    <t>GASORE  Ernest-BATCLC01/0002/23</t>
  </si>
  <si>
    <t>GATARE Jean Baptiste- BATCLC01/0007/23</t>
  </si>
  <si>
    <t>Gaterega Simon-ACT2018BA0025</t>
  </si>
  <si>
    <t>GATSINZI  Emmanuel-PGDTLC01/0007/23</t>
  </si>
  <si>
    <t>GISAGARA  Emmanuel- PGDTLC01/024/24</t>
  </si>
  <si>
    <t>GISAGARA  Frank-PGDTLC01/0014/22</t>
  </si>
  <si>
    <t>HABAGUHIRWA  Steven-BATCLC01/085/21</t>
  </si>
  <si>
    <t>HABARUGIRA  John-ACT2017BA00026</t>
  </si>
  <si>
    <t>Habihirwe Edouard-BATCLC01/077/21</t>
  </si>
  <si>
    <t>HABIMANA  Didier-PGDTLC01/063/21</t>
  </si>
  <si>
    <t>HABIMANA  Jackson- BATCLC01/010/24</t>
  </si>
  <si>
    <t>HABINEZA  Marcel- ACT2017BA0009</t>
  </si>
  <si>
    <t>HABINSHUTI  Innocent- BATCLC01/0009/23</t>
  </si>
  <si>
    <t>HABIYAKARE Francois- BATCLC01/011/24</t>
  </si>
  <si>
    <t>HAKIZA  Ruterera-PGDTLC01/0024/22</t>
  </si>
  <si>
    <t>HAKUZIMANA  Theogene-ACT2017BA0031</t>
  </si>
  <si>
    <t>HAZABUMUHANGA  Ernest-PGDTLC01/0040/22</t>
  </si>
  <si>
    <t>Higa Emmanuel-BATCLC01/092/21</t>
  </si>
  <si>
    <t>HIRWA  Emmanuel- BATCLC01/006/23</t>
  </si>
  <si>
    <t>HODARI  Steven-ACT2018BA0036</t>
  </si>
  <si>
    <t>ICYITEGETSE Alexandre-BATCLC01/082/21</t>
  </si>
  <si>
    <t>IMANATURIKUMWE  Victor-PGDTLC01/008/21</t>
  </si>
  <si>
    <t>IMANIRAFASHA  Esperance-BATCLC01/102/21</t>
  </si>
  <si>
    <t>INGABIRE  Fridah- ACT2018BA0008</t>
  </si>
  <si>
    <t>INGABIRE  Jeanine-BATCLC01/0012/22</t>
  </si>
  <si>
    <t>Ingabire Anitha-PGDTLC01/0024/22</t>
  </si>
  <si>
    <t>INGABIRE Immaculate- PGDTLC01/023/24</t>
  </si>
  <si>
    <t>IRADUKUNDA  Nicole- BATCLC01/025/24</t>
  </si>
  <si>
    <t>Irakoze Didace-BATCLC01/018/21</t>
  </si>
  <si>
    <t>IRANZI PRUDENT PGDLC01/026/21</t>
  </si>
  <si>
    <t>IRYIVUZE  Monia-PGDTLC01/046/21</t>
  </si>
  <si>
    <t>ISHIMWE Caleb-BATCLC01/0042/22</t>
  </si>
  <si>
    <t>Isingizwe Aime Schadrack-BATCLC01/011/21</t>
  </si>
  <si>
    <t>JOHN MARVIN BREHM- PGDTLC01/025/23</t>
  </si>
  <si>
    <t>KABAGAMBE NZIZA  JULIUS PGDTLC01/0015/22</t>
  </si>
  <si>
    <t>Kabagambe Valens-BATCLC01/050/21</t>
  </si>
  <si>
    <t>KABERA  Jacqueline- PGDTLC01/015/23</t>
  </si>
  <si>
    <t>KABUTARE  Providence  U- PGDTLC01/0019/23</t>
  </si>
  <si>
    <t>KABUTWARE  CLAUDE- PDGTLC01/020/2022</t>
  </si>
  <si>
    <t>Kadege Firmin-BATCLC01/024/21</t>
  </si>
  <si>
    <t>KAJUGIRO JEAN PIERRE-BATCLC01/0044/22</t>
  </si>
  <si>
    <t>KALIMBA Daniel-PGDTLC01/0013/22</t>
  </si>
  <si>
    <t>KAMANZI  NTAMBARA  A-BATCLC01/076/21</t>
  </si>
  <si>
    <t>KAMANZI  Pascasie- PGDTLC01/022/24</t>
  </si>
  <si>
    <t>KAMANZI Julienne- ACT 2017 BA0012</t>
  </si>
  <si>
    <t>Kamanzi Mercellin-BATCLC01/040/21</t>
  </si>
  <si>
    <t>KAMAZOBA  JACKIE PGDTLC 01/042/21</t>
  </si>
  <si>
    <t>KAMUGISHA  Caleb-BATCLC01/0035/22</t>
  </si>
  <si>
    <t>KAMUGISHA  Michael- PGDTCL01/002/24</t>
  </si>
  <si>
    <t>KAMUGISHA MBABAZI D- ACT2017BA0002</t>
  </si>
  <si>
    <t>KAMUHANDA  Jean  Bosco-ACT2015BA00063</t>
  </si>
  <si>
    <t>KANYANGE  Aline- PGDTLC01/025/24</t>
  </si>
  <si>
    <t>KANYANGOGA JOHN BOSCO PGDTLC01/069/21</t>
  </si>
  <si>
    <t>KARAKE ISDORE GIDEON- ACT2017BA0036</t>
  </si>
  <si>
    <t>KARANGWA  Alphonse-PGDTLC01/0017/22</t>
  </si>
  <si>
    <t>KARANGWA John Karengera- PGDTLC01/006/24</t>
  </si>
  <si>
    <t>Payment</t>
  </si>
  <si>
    <t>Invoice</t>
  </si>
  <si>
    <t>General Journal</t>
  </si>
  <si>
    <t>Deposit</t>
  </si>
  <si>
    <t>KAREMERA  Frank- ACT2018BA0037</t>
  </si>
  <si>
    <t>KAREMERA  Joseph- BATCLC01/021/24</t>
  </si>
  <si>
    <t>KARWANYI  Fred-PGDTLC01/017/21</t>
  </si>
  <si>
    <t>KAYESU Molly- ACT2017BA0002</t>
  </si>
  <si>
    <t>KAYITABA  Emmanuel- PGDTLC01/040/21</t>
  </si>
  <si>
    <t>KAYITARE  Edward-PGDTLC01/0040/22</t>
  </si>
  <si>
    <t>KAYITARE Fred-ACT2018BA0014</t>
  </si>
  <si>
    <t>KAZE Keila Pascale- BACTC01/004/23</t>
  </si>
  <si>
    <t>KIBIBI  Pascal- PGDTLC01/039/24</t>
  </si>
  <si>
    <t>KIIZA  BENON-PGDTLC01/0046/22</t>
  </si>
  <si>
    <t>KIMENYI  Fred- BATCLC01/020/24</t>
  </si>
  <si>
    <t>KUBEERWA  JOY MARY K-PGDTLC01/013/21</t>
  </si>
  <si>
    <t>KUBWIMANA  Elie-BATCLC01/073/21</t>
  </si>
  <si>
    <t>KUTEESA DARLIUS-PGDTLC01/023/21</t>
  </si>
  <si>
    <t>KWIBUKA  CLAUDE- BATCLC01/022/24</t>
  </si>
  <si>
    <t>KWIZERA  Anitha- BATCLC01/012/21</t>
  </si>
  <si>
    <t>KWIZERA  Emmanuel-PGDTLCO1/0005/23</t>
  </si>
  <si>
    <t>KWIZERA  MARK-BATCLC01/0036/22</t>
  </si>
  <si>
    <t>Lameck MRISHA ANOLD- BATCLC01/006/24</t>
  </si>
  <si>
    <t>LWANGA CHARLES-PGDTLC01/0031/22</t>
  </si>
  <si>
    <t>MANDELA  Nelson- BATCLC01/018/24</t>
  </si>
  <si>
    <t>MANIRAGUHA  Hans-PGDTLC01/0047/22</t>
  </si>
  <si>
    <t>MANZI  Alexis-BATCLC01/004/22</t>
  </si>
  <si>
    <t>Manzi Didier PGDLC01/011/21</t>
  </si>
  <si>
    <t>MASABO Richard- PGDTLC01/003/21</t>
  </si>
  <si>
    <t>MATABARO  James-BATCLC01/098/21</t>
  </si>
  <si>
    <t>Mazimpaka Augustin-BATCLC01/013/21</t>
  </si>
  <si>
    <t>Mazimpaka Hortense-BATCLC01/031/21</t>
  </si>
  <si>
    <t>MBABAZI MAGRET- BATCLC01/002/23</t>
  </si>
  <si>
    <t>MBABAZI MARGARET-PGDTLC01/031/21</t>
  </si>
  <si>
    <t>Mbabazi Nema-BATCLC01/041/21</t>
  </si>
  <si>
    <t>MBABAZI RUTH-PGDTLCO1/0003/23</t>
  </si>
  <si>
    <t>MBANZABIGWI  Michel-BATCLC01/096/21</t>
  </si>
  <si>
    <t>MBERABAGABO  Mathieu- PGDTLC01/048/24</t>
  </si>
  <si>
    <t>MBUYI  Grace- PGDTLC01/0009/23</t>
  </si>
  <si>
    <t>Mfitumukiza Obed-BATCLC01/068/21</t>
  </si>
  <si>
    <t>MINEGA MARTIN Songa- PGDTLC01/006/23</t>
  </si>
  <si>
    <t>MIREMBE  Irene Esther-PGDTLC01/0058/22</t>
  </si>
  <si>
    <t>MIZERO PASCASIE-BATCLC01/006/22</t>
  </si>
  <si>
    <t>MOUNDOUNGALT  Leonie-BATCLC01/0027/22</t>
  </si>
  <si>
    <t>MPUNGANYENIMANA  Vital- PGDTLC01/007/22</t>
  </si>
  <si>
    <t>MUCHIRI Carolyne W- BATCLC01/016/24</t>
  </si>
  <si>
    <t>MUDAHEMUKA  Julius-PGDTLC01/0013/23</t>
  </si>
  <si>
    <t>MUDAHIGWA  Stanley L-BATCLC01/048/21</t>
  </si>
  <si>
    <t>Mudenge Jean Damascene-BATCLC01/083/21</t>
  </si>
  <si>
    <t>MUGABO  John-PGDTLC01/0022/22</t>
  </si>
  <si>
    <t>MUGIRANEZA  InnocentPGDTLC01/048/21</t>
  </si>
  <si>
    <t>MUGISHA  Anne Marie- ACT2016BA0014</t>
  </si>
  <si>
    <t>MUGISHA  Godfrey-ACT2017BA0035</t>
  </si>
  <si>
    <t>MUGISHA  ISAIAH- BATCLC01/002/24</t>
  </si>
  <si>
    <t>MUGISHA  Jean Baptiste- BATCLC01/015/24</t>
  </si>
  <si>
    <t>MUGISHA  Samuel-BATCLC01/0031/22</t>
  </si>
  <si>
    <t>MUGISHA  Yves- PGDTLC01/041/24</t>
  </si>
  <si>
    <t>MUHIGIRA  Faustin-ACT2017BA0009</t>
  </si>
  <si>
    <t>MUHIRE  Guy  Alain-PGDTLC01/018/21</t>
  </si>
  <si>
    <t>MUHIRE  John- ACT2018BA0011</t>
  </si>
  <si>
    <t>Muhirwa Emmanuel-BATCLC01/091/21</t>
  </si>
  <si>
    <t>MUHIZI  Fred-BATCLC01/028/21</t>
  </si>
  <si>
    <t>MUHONGAYIRE mARTINE PGDLC01/030/21</t>
  </si>
  <si>
    <t>MUHOZI ROGER- BATCLC01/009/23</t>
  </si>
  <si>
    <t>MUJAWAMARIYA  Johnson E- PGDTLC01/047/24</t>
  </si>
  <si>
    <t>MUJERI  Felix- BATCLC01/0008/23</t>
  </si>
  <si>
    <t>MUKABARERA  Peninah-BATCLC01/0039/22</t>
  </si>
  <si>
    <t>MUKABISANANA Yvette- PGDTLC01/038/24</t>
  </si>
  <si>
    <t>MUKAGATSINZI  Florida- PGDTLC01/005/23</t>
  </si>
  <si>
    <t>Mukakarera Ledith-BATCLC01/088/21</t>
  </si>
  <si>
    <t>MUKAMISHA  Henriette-BATCLC01/0101/23</t>
  </si>
  <si>
    <t>MUKAMUNANA  MARIAM- PGDTLC01/034/21</t>
  </si>
  <si>
    <t>MUKAMUSONI Concilie- PGDTLC01/026/24</t>
  </si>
  <si>
    <t>MUKANKUSI  Agnes  Dorcas-PGDTLC01/0061/22</t>
  </si>
  <si>
    <t>MUKARUSAGARA  Yvonne  H-BATCLC01/008/22</t>
  </si>
  <si>
    <t>MUKASHYAKA  Jacqueline-PGDTLC01/054/21</t>
  </si>
  <si>
    <t>MUKESHIMANA   Jean Bosco-PGDTLC01/050/21</t>
  </si>
  <si>
    <t>MUKIZA  NDACUMVA  Andre-PGDTLC01/0029/22</t>
  </si>
  <si>
    <t>MUKRISTU Eric- ACT2018BA0049</t>
  </si>
  <si>
    <t>MUKUNZI  Laban-BATCLC01/074/21</t>
  </si>
  <si>
    <t>Muligande Jean Pierre- ACT2015BA00062</t>
  </si>
  <si>
    <t>MULINDA  Alexis-PGDTLC01/014/21</t>
  </si>
  <si>
    <t>MUNANA  Yves- PGDTLC01/026/23</t>
  </si>
  <si>
    <t>MUNEZERO  Audrey- PGDTLC01/050/24</t>
  </si>
  <si>
    <t>MUNEZERO MAGNIFIQUE-BATCLC01/017/23</t>
  </si>
  <si>
    <t>MUNGUANIPE  Gideon- ACT2017BA0038</t>
  </si>
  <si>
    <t>MUNYAMAHORO  Mathew-BATCLC01/0006/23</t>
  </si>
  <si>
    <t>MUNYANDEKWE  Vedaste- PGDTLC01/036/24</t>
  </si>
  <si>
    <t>MUNYANEZA  Herman- BATCLC01/003/24</t>
  </si>
  <si>
    <t>MUNYANTORE Justin- BATCLC01/014/24</t>
  </si>
  <si>
    <t>MUNYURWENAWE  Vedaste- BATCLC01/008/24</t>
  </si>
  <si>
    <t>MUPENZI Innocent- BATCLC01/013/23</t>
  </si>
  <si>
    <t>Mupenzi Patrick-BATCLC01/044/21</t>
  </si>
  <si>
    <t>MURANGWA  Jordan- PGDTLC01/028/24</t>
  </si>
  <si>
    <t>MUREBWANAYO  Ruth-BATCLC01/046/21</t>
  </si>
  <si>
    <t>MUREKATETE Odeth-PGDTLC01/032/21</t>
  </si>
  <si>
    <t>Murekezi Olivier-BATCLC01/084/21</t>
  </si>
  <si>
    <t>MUREKEZI Patrick-PGDTLCO1/0002/23</t>
  </si>
  <si>
    <t>MUSAFIRI EMMANUEL PGDTLC01/022/21</t>
  </si>
  <si>
    <t>MUSHANA  Steven-PGDTLCO1/0018/23</t>
  </si>
  <si>
    <t>Mushimiyimana Stanislas-BATCLC01/072/21</t>
  </si>
  <si>
    <t>MUSONERA Patrick- BATCLC01/007/24</t>
  </si>
  <si>
    <t>MUSONI CHARLES-PGDTLC01/008/22</t>
  </si>
  <si>
    <t>MUSORE Godfrey- PGDTLC01/012/23</t>
  </si>
  <si>
    <t>MUTABAZI  Sam- PGDTLC01/014/24</t>
  </si>
  <si>
    <t>MUTAMBA  Flora-BATCLC01/0046/22</t>
  </si>
  <si>
    <t>MUTANGANA  Edward-ACT2017BA0034</t>
  </si>
  <si>
    <t>MUTEMBEREZI  Fidele-PGDTLC01/035/21</t>
  </si>
  <si>
    <t>Mutesa John- BATCLC01/037/21</t>
  </si>
  <si>
    <t>MUTIMIRWA  Vianney-PGDTLC01/037/21</t>
  </si>
  <si>
    <t>MUTONI  Didacienne-PGDTLC01/0064/22</t>
  </si>
  <si>
    <t>MUTONI  K ODETH- PGDTLC01/047/21</t>
  </si>
  <si>
    <t>MUTONI EUNICE-BATCLC01/103/21</t>
  </si>
  <si>
    <t>MUTONI Sarah- PGDTLC01/042/24</t>
  </si>
  <si>
    <t>MUTUNZI  Innocent- PGDTLC01/032/24</t>
  </si>
  <si>
    <t>MUTUYIMANA  Marie Claire-PGDTLC01/0057/22</t>
  </si>
  <si>
    <t>Muvunyi David-BATCLC01/035/21</t>
  </si>
  <si>
    <t>MUVUNYI Ramadhan- BATCLC01/0012/23</t>
  </si>
  <si>
    <t>MUZUNGU VINCENT- PGDTLC01/0018/22</t>
  </si>
  <si>
    <t>MWAMIKAZI  Shaluwa- PGDTLC01/007/23</t>
  </si>
  <si>
    <t>MWESIGYE  RONALD-PGDTLC01/036/21</t>
  </si>
  <si>
    <t>NAKASINGYE Joy- PGDTLC01/040/24</t>
  </si>
  <si>
    <t>NANTUMBWE Annet-BATCLC01/019/23</t>
  </si>
  <si>
    <t>NAYEBARE  Annet-BATCLC01/0019/22</t>
  </si>
  <si>
    <t>NDABARAMIYE  ESPOIR- BATCLC01/023/24</t>
  </si>
  <si>
    <t>NDAGIJIMANA  Theophile-BATCLC01/057/21</t>
  </si>
  <si>
    <t>NDAHIGWA  Elisha- PGDTLC01/012/24</t>
  </si>
  <si>
    <t>NDAMUKUNDA  Alexander-PGDTLC01/0027/22</t>
  </si>
  <si>
    <t>Ndatimana Joel-BATCLC01/036/21</t>
  </si>
  <si>
    <t>NDAYISABA  Julius- BATCLC01/039/21</t>
  </si>
  <si>
    <t>Ndayisenga  Jean de D-BATCLC01/060/21</t>
  </si>
  <si>
    <t>NDAYISENGA  Paul-BATCLC01/0041/22</t>
  </si>
  <si>
    <t>Ndayisenga Aphrodis R-BATCLC01/075/21</t>
  </si>
  <si>
    <t>NDAYISHIMIYE KAREKEZI  L-PGDTLC01/0048/22</t>
  </si>
  <si>
    <t>NDAYISHIMIYE Leonce-BATCLC01/003/23</t>
  </si>
  <si>
    <t>NDIKUMANA  Arsene-ACT2017BA0039</t>
  </si>
  <si>
    <t>NDINZABANDI Bonnke- PGDTLC01/008/24</t>
  </si>
  <si>
    <t>NDIZEYE Olivier-PGDTLC01/067/21</t>
  </si>
  <si>
    <t>NDUTIYE Paul- PGDTLC01/049/24</t>
  </si>
  <si>
    <t>NDWANO  Emmanuel- PGDTLC01/016/21</t>
  </si>
  <si>
    <t>NGABONZI OLIVIER PGDTLC01/005/21</t>
  </si>
  <si>
    <t>NGABONZIZA  Benitha I-PGDTLC01/056/21</t>
  </si>
  <si>
    <t>NGABONZIZA  Benon-BATCLC01/0015/23</t>
  </si>
  <si>
    <t>NGARAMBE Vincent-PGDTLC01/0053/22</t>
  </si>
  <si>
    <t>NGARUKIYE BAHOZA E-PGDTLC01/0016/23</t>
  </si>
  <si>
    <t>NGOGA  Gislain-ACT2015BA0009</t>
  </si>
  <si>
    <t>NGOGA  Herve- ACT2016BA0022</t>
  </si>
  <si>
    <t>NGOGA  Innocent- PGDTLC01/048/21</t>
  </si>
  <si>
    <t>NGOMBWA  Egide- ACT2018BA0012</t>
  </si>
  <si>
    <t>NIKOKEZA Calvin- ACT2017BA0024</t>
  </si>
  <si>
    <t>NIWEMUGENI  Clarise -BATCLC01/0004/23</t>
  </si>
  <si>
    <t>NIWEMUKUNZI  Abbot  C-PGDTLC01/0021/22</t>
  </si>
  <si>
    <t>NIWENKUNDA  Catherine- PGDTLC01/002/23</t>
  </si>
  <si>
    <t>NIYIGABURA  Elie-BATCLC01/005/22</t>
  </si>
  <si>
    <t>NIYITEGEKA  KIZITO-BATCLC01/0038/22</t>
  </si>
  <si>
    <t>NIYODUSENGA  MARCEL-BATCLC01/0013/22</t>
  </si>
  <si>
    <t>NIYOMUFASHA  Lynca-BATCLC01/0030/22</t>
  </si>
  <si>
    <t>Niyomugabo Etienne-BATCLC01/086/21</t>
  </si>
  <si>
    <t>NIYOMUKIZA  Protais- ACT2016BA0016</t>
  </si>
  <si>
    <t>NIYONGOMBWA  Steven-ACT2017BA0020</t>
  </si>
  <si>
    <t>Niyonkuru Esperance-BATCLC01/055/21</t>
  </si>
  <si>
    <t>NIYONSABA  JACQUES-PGDTLC01/0060/22</t>
  </si>
  <si>
    <t>NIYONSENGA  Ernest-PGDTLC01/007/21</t>
  </si>
  <si>
    <t>NIZIGIYE Augustin-PGDTLC01/049/21</t>
  </si>
  <si>
    <t>NKINGAMUHETO Moussa- BATCLC01/005/24</t>
  </si>
  <si>
    <t>NKUNDA  Frank-BATCLC01/0049/22</t>
  </si>
  <si>
    <t>NKUNDIBIZA  Jean Claude-ACT2018BA0037</t>
  </si>
  <si>
    <t>NKUNDIMANA  Elie-BATCLC01/0005/23</t>
  </si>
  <si>
    <t>NKUNDIMANA  Jean De Dieu-BATCLC01/034/21</t>
  </si>
  <si>
    <t>NKUNDWANAYO  Dan-PGDTLC01/0044/22</t>
  </si>
  <si>
    <t>Nkurikiye Athanase-BATCLC01/065/21</t>
  </si>
  <si>
    <t>NKURUNZIZA  Celestin W-PGDTLC01/0036/22</t>
  </si>
  <si>
    <t>NKURUNZIZA  Prince-PGDTLCO1/0004/23</t>
  </si>
  <si>
    <t>NKURUNZIZA  Richard-PGDTLC01/0064/22</t>
  </si>
  <si>
    <t>NKUSI  God- PGDTLC01/044/24</t>
  </si>
  <si>
    <t>NKWIHOREZE Irene-PGDTLCO1/0001/23</t>
  </si>
  <si>
    <t>NNAKUBULWA  HAMIDA  K-PGDTLC01/0038/22</t>
  </si>
  <si>
    <t>NOHELI Elie- PGDTLC01/017/23</t>
  </si>
  <si>
    <t>NSABAGASANI  Francois-ACT2015BA00082</t>
  </si>
  <si>
    <t>NSABAYESU  Aimable-BATCLC01/081/21</t>
  </si>
  <si>
    <t>Nsabimana John Baptist-BATCLC01/059/21</t>
  </si>
  <si>
    <t>Nsabyumuremyi Terence- BATCLC01/049/21</t>
  </si>
  <si>
    <t>Nsanzamahoro Appolone-ACT2017BA0023</t>
  </si>
  <si>
    <t>NSENGIMANA  Rafiki-BATCLC01/0015/22</t>
  </si>
  <si>
    <t>Nsengimana Sarathiel-BATCLC01/047/21</t>
  </si>
  <si>
    <t>NSENGIYUMVA  Jean De D-BATCLC01/033/21</t>
  </si>
  <si>
    <t>Nsengiyumva  Nzayiramya C- BATCLC01/101/2</t>
  </si>
  <si>
    <t>NSHIMIYIMANA  Kirwanira T-BATCLC01/063/21</t>
  </si>
  <si>
    <t>Nshimiyimana Jean D Dieu-BATCLC01/010/23</t>
  </si>
  <si>
    <t>NTAGANIRA  John-BATCLC01/038/21</t>
  </si>
  <si>
    <t>NTAKIRUTIMANA  ETIENNE-ACT2018BA0031</t>
  </si>
  <si>
    <t>NTAKIRUTIMANA  Jean B- PGDTLC01/027/21</t>
  </si>
  <si>
    <t>NTAKIRUTIMANA  Nathan- PGDTLC01/016/23</t>
  </si>
  <si>
    <t>Ntakirutimana Pacific-BATCLC01/043/21</t>
  </si>
  <si>
    <t>NTAMARERERO  Adelphine- BATCLC01/012/24</t>
  </si>
  <si>
    <t>NTAMBARA  Issa-PGDTLC01/010/23</t>
  </si>
  <si>
    <t>NTARINDWA  Diogene-PGDTLC01/029/21</t>
  </si>
  <si>
    <t>NTAZINDA  Beatrice- PGDTLC01/0014/23</t>
  </si>
  <si>
    <t>NTEGANIRA  Alex- ACT2016BA0021</t>
  </si>
  <si>
    <t>NTERINANZIZA  Sereine- PGDTLC01/009/24</t>
  </si>
  <si>
    <t>Ntibizerwa Valens-BATCLC01/051/21</t>
  </si>
  <si>
    <t>Ntigurirwa Godfrey-BATCLC01/030/21</t>
  </si>
  <si>
    <t>NTWALI  Alexis-PGDTLC01/053/21</t>
  </si>
  <si>
    <t>NTWARI  Parfait-BATCLC01/0016/22</t>
  </si>
  <si>
    <t>NYABYENDA  Malachie-BATCLC01/079/21</t>
  </si>
  <si>
    <t>NYAGATO  Mary-PGDTLC01/0017/23</t>
  </si>
  <si>
    <t>NYANDWI  Charles-BATCLC01/014/21</t>
  </si>
  <si>
    <t>NYIRAMAJYAMBERE  Jacky- PGDTLC01/003/23</t>
  </si>
  <si>
    <t>NYIRANEZA  Dalia- PGDTLC01/035/24</t>
  </si>
  <si>
    <t>Nyirinkwaya  Jean Michel-PGDTLC01/0055/22</t>
  </si>
  <si>
    <t>NZABAKIRA  Floribert-PGDTLC01/064/21</t>
  </si>
  <si>
    <t>NZARAMBA  Theoneste-PGDTLC01/0039/22</t>
  </si>
  <si>
    <t>NZARAMBA Jean Paul-BATCLC01/069/21</t>
  </si>
  <si>
    <t>OLOYE OLUWASEGUN  Richard-PGDTLC01/0051/2</t>
  </si>
  <si>
    <t>OTYANG  Emmanuel-BATCLC01/0017/22</t>
  </si>
  <si>
    <t>RAFIKI Alexis- PGDTLC01/020/23</t>
  </si>
  <si>
    <t>Rishirabake Beatrice-BATCLC01/064/21</t>
  </si>
  <si>
    <t>ROBERT  Safi-PGDTLC01/0032/22</t>
  </si>
  <si>
    <t>RUBAYIZA  GASHAMURA  J-PGDTLC01/0058/22</t>
  </si>
  <si>
    <t>RUCYAHANA JOY-PGDTLC01/0033/22</t>
  </si>
  <si>
    <t>RUDAKEMWA  Francis-PGDTLC01/0061/22</t>
  </si>
  <si>
    <t>RUDASINGWA  Frank-PGDTLC01/070/21</t>
  </si>
  <si>
    <t>RUDASINGWA  Twesigye  I-BATCLC01/104/21</t>
  </si>
  <si>
    <t>RUGAMBA James-BATCLC01/018/23</t>
  </si>
  <si>
    <t>RUGAMBWA  Emmanuel- PGDTLC01/016/24</t>
  </si>
  <si>
    <t>RUGEMA  Gerald- PGDTLC01/020/24</t>
  </si>
  <si>
    <t>RUGWIZA  Aimable-PGDTLC01/024/21</t>
  </si>
  <si>
    <t>RUHANGA  KABGINDI  D-BATCLC01/100/21</t>
  </si>
  <si>
    <t>RUHUMURIZA  Eric-ACT2017BA0025</t>
  </si>
  <si>
    <t>Rumanzi Emmanuel-ACT2017BA0035</t>
  </si>
  <si>
    <t>RURANGWA  Fred- PGDTLC01/018/24</t>
  </si>
  <si>
    <t>RUTABAYIRU  RAYMOND-PGDTLC01/014/23</t>
  </si>
  <si>
    <t>RUTAYISIRE PIERRE C-PGDTLC01/0012/23</t>
  </si>
  <si>
    <t>RUTEBUKA  Jean Paul- PGDTLC01/021/24</t>
  </si>
  <si>
    <t>RUTEBUKA  Jules Musonera-PGDTLC01/013/24</t>
  </si>
  <si>
    <t>RUTEMBEZA  JMV- BATCLC01/007/23</t>
  </si>
  <si>
    <t>RUVUGWANAHO  R. John-PGDTLC01/003/21</t>
  </si>
  <si>
    <t>RUZIGAMINTURO Beatrice- PGDTLC01/029/24</t>
  </si>
  <si>
    <t>RUZINDANA  Samson-PGDTLC01/0023/23</t>
  </si>
  <si>
    <t>Rwagasana Thomas-ACT2017BA0077</t>
  </si>
  <si>
    <t>RWAGASORE  Peter-ACT2017BA0021</t>
  </si>
  <si>
    <t>RWAHAMA  Elie- PGDTLC01/019/24</t>
  </si>
  <si>
    <t>RWAMIHETO  Amani- PGDTLC01/004/23</t>
  </si>
  <si>
    <t>Rwandamura Mechack-PGDTLC01/025/21</t>
  </si>
  <si>
    <t>RWANYAMUGABO  Fred- PGDTLC01/034/24</t>
  </si>
  <si>
    <t>Rwebishaka Brian S PGDLTC01/015/21</t>
  </si>
  <si>
    <t>Rwibutso Gisa Fred-BATCLC01/029/21</t>
  </si>
  <si>
    <t>SANYU  GERTRUDE</t>
  </si>
  <si>
    <t>Total SANYU  GERTRUDE</t>
  </si>
  <si>
    <t>SANYU Gertrude-PGDTLC01/0063/22</t>
  </si>
  <si>
    <t>SEBAKWIYE ROGER- ACT2018BA0045</t>
  </si>
  <si>
    <t>SEKAMANA  Bwiza Connie- PGDTLC01/030/24</t>
  </si>
  <si>
    <t>SEMAHE Emmanuel-BATCLC01/106/21</t>
  </si>
  <si>
    <t>SENYANGE K. John- PGDTLC01/011/23</t>
  </si>
  <si>
    <t>SERULIKA  Fred- ACT2016BA0003</t>
  </si>
  <si>
    <t>SEZIRAHIGA  Eugene- ACT2017BA0017</t>
  </si>
  <si>
    <t>SEZISONI  Manzi davis-BATCLC01/016/21</t>
  </si>
  <si>
    <t>SHADRACK  Demokarasi-BATCLC01/0003/23</t>
  </si>
  <si>
    <t>SHINGA  Fidele-ACT2017BA0006</t>
  </si>
  <si>
    <t>SHUKURU Geofrey- BATCLC01/024/24</t>
  </si>
  <si>
    <t>SHUMBANI Marie C- BATCLC01/014/23</t>
  </si>
  <si>
    <t>SHUMBUSHO  Wulfran- PGDTLC01/043/24</t>
  </si>
  <si>
    <t>SHYAKA  Abel-BATCLC01/0048/22</t>
  </si>
  <si>
    <t>Shyirambere Jean Paul-BATCLC01/078/21</t>
  </si>
  <si>
    <t>SIBOMANA  Emmanuel-BATCLC01/0034/22</t>
  </si>
  <si>
    <t>TUGIRUMUKIZA  Elisa-BATCLC01/0014/23</t>
  </si>
  <si>
    <t>TUMURERE  Gilbert- PGDTLC01/003/24</t>
  </si>
  <si>
    <t>TUMUSIIME RONALD-PGDTLC01/015/24</t>
  </si>
  <si>
    <t>TUMWEBAZE  Prima-PGDTLC01/0022/23</t>
  </si>
  <si>
    <t>TURATSINZE  Bien  Aime- PGDTLC01/046/24</t>
  </si>
  <si>
    <t>TURIKUMWENIMANA  Noel- PGDTLC01/037/24</t>
  </si>
  <si>
    <t>TUYAMBAZE  Eric-PGDTLC01/0037/22</t>
  </si>
  <si>
    <t>TUYISENGE DANIEL PGDLL01/009/22</t>
  </si>
  <si>
    <t>Tuyishime Onesphore-BATCLC01/042/21</t>
  </si>
  <si>
    <t>TUYIZERE GABRIEL-ACT2017BA0041</t>
  </si>
  <si>
    <t>TWAGIRAYESU  SANYU  G-PGDTLC01/0063/22</t>
  </si>
  <si>
    <t>TWAHIRWA  Emmanuel-PGDTLC01/0033/22</t>
  </si>
  <si>
    <t>TWAHIRWA  JAMES- BATCLC01/017/24</t>
  </si>
  <si>
    <t>TWAHIRWA  Joachim-BATCLC01/007/22</t>
  </si>
  <si>
    <t>TWAHIRWA  Seth-PGDTLC01/0010/23</t>
  </si>
  <si>
    <t>TWIZEYIMANA  Jean P-BATCLC01/035/21</t>
  </si>
  <si>
    <t>UMUHIRE  Liza  Solange - PGDTLC01/045/24</t>
  </si>
  <si>
    <t>UMUHOZA   Espérance- PGDTLC01/004/24</t>
  </si>
  <si>
    <t>UMUKIZA  Roger-BATCLC01/087/21</t>
  </si>
  <si>
    <t>UMUTANGANA Micheline-ACT2017BA0015</t>
  </si>
  <si>
    <t>UMUTESI  Justine-BATCLC01/020/23</t>
  </si>
  <si>
    <t>UMUTESI  Vedette- PGDTLC01/005/22</t>
  </si>
  <si>
    <t>UMUTONI  Gisele-PGDTLC01/0054/22</t>
  </si>
  <si>
    <t>UMUTONI  Joseline-PGDTLC01/0042/22</t>
  </si>
  <si>
    <t>URIMUBENSHI  Francois  X-BATCLC01/071/21</t>
  </si>
  <si>
    <t>USENGIMANA  EUGENE-PGDTLC01/020/21</t>
  </si>
  <si>
    <t>UTAMURIZA  Marie Claire-BATCLC01/0013/23</t>
  </si>
  <si>
    <t>UWADATA  Ornella- ACT2017BA0044</t>
  </si>
  <si>
    <t>UWAMUNGU Antoine- PGDTLC01/017/24</t>
  </si>
  <si>
    <t>UWANTEGE  Solange-PGDTLC01/028/21</t>
  </si>
  <si>
    <t>UWANYIRIGIRA  Chantal-BATCLC01/067/21</t>
  </si>
  <si>
    <t>Uwanyirigira Jovithe-BATCLC01/097/21</t>
  </si>
  <si>
    <t>UWASE Aziza-PGDTLC01/0011/23</t>
  </si>
  <si>
    <t>Uwase Peace-BATCLC01/045/21</t>
  </si>
  <si>
    <t>UWAYEZU Anitha- PGDTLC01/010/24</t>
  </si>
  <si>
    <t>UWAYO  Valens-BATCLC01/052/21</t>
  </si>
  <si>
    <t>UWERA  Alice- PGDTLC01/027/24</t>
  </si>
  <si>
    <t>UWERA  Egidia- PGDTLC01/009/23</t>
  </si>
  <si>
    <t>UWERA  Jane- ACT2018BA0019</t>
  </si>
  <si>
    <t>UWERA  Winny- PGDTLC01/033/24</t>
  </si>
  <si>
    <t>UWIHANGANYE Emmanuel- PGDTLC01/011/24</t>
  </si>
  <si>
    <t>UWIMANA  FRANCINE-BATCLC01/003/22</t>
  </si>
  <si>
    <t>UWIMANA  Gaga Jeanne  D-PGDTLC01/058/21</t>
  </si>
  <si>
    <t>UWIMANA  Maimuna-PGDTLC01/0048/22</t>
  </si>
  <si>
    <t>UWINEZA  Racheal-BATCLC01/099/21</t>
  </si>
  <si>
    <t>UWINGABIYE  Abia-BATCLC01/0018/22</t>
  </si>
  <si>
    <t>Uwiragiye Denis-BATCLC01/017/21</t>
  </si>
  <si>
    <t>UWIRINGIYIMANA Olga Sandra-PGDTLC01/052/</t>
  </si>
  <si>
    <t>UWIZEYIMANA  Ange Diane-BATCLC01/0016/23</t>
  </si>
  <si>
    <t>UWIZEYIMANA  Vincent- BATCLC01/012/23</t>
  </si>
  <si>
    <t>VUGUZIGIRA  Alphonse-BATCLC01/0033/22</t>
  </si>
  <si>
    <t>WICKSELL  MUKALAI- BATCLC01/0011/23</t>
  </si>
  <si>
    <t>ZAGABE THIERRY- PGDTLC01/0028/22</t>
  </si>
  <si>
    <t>Zigirinshuti David-BATCLC01/090/21</t>
  </si>
  <si>
    <t>ZINDA  Victor-PGDTLC01/019/21</t>
  </si>
  <si>
    <t>TOTAL</t>
  </si>
  <si>
    <t>ACT2016BA0028</t>
  </si>
  <si>
    <t>PGDTLC01/0052/22</t>
  </si>
  <si>
    <t>ACT2017BA0026</t>
  </si>
  <si>
    <t>BATCLC01/002/22</t>
  </si>
  <si>
    <t>PGDTLC01/0020/23</t>
  </si>
  <si>
    <t>PGDTLC01/019/23</t>
  </si>
  <si>
    <t>BATCLC01/004/24</t>
  </si>
  <si>
    <t>PGDTLC01/021/21</t>
  </si>
  <si>
    <t xml:space="preserve"> BATCLC01/009/24</t>
  </si>
  <si>
    <t>PGDTLC01/008/23</t>
  </si>
  <si>
    <t>BATCLC01/0010/22</t>
  </si>
  <si>
    <t>PGDTLC01/005/24</t>
  </si>
  <si>
    <t>PGDTLC01/011/22</t>
  </si>
  <si>
    <t>ACT2017BA0028</t>
  </si>
  <si>
    <t>PGDTLC01/006/22</t>
  </si>
  <si>
    <t>ACT 2015 BA00026</t>
  </si>
  <si>
    <t>BATCLC01/008/23</t>
  </si>
  <si>
    <t>PGDTLC01/0035/22</t>
  </si>
  <si>
    <t>BATCLC01/0045/22</t>
  </si>
  <si>
    <t>PGDTLC01/031/24</t>
  </si>
  <si>
    <t>BATCLC01/025/21</t>
  </si>
  <si>
    <t>BATCLC01/011/23</t>
  </si>
  <si>
    <t>PGDTLCO1/0006/23</t>
  </si>
  <si>
    <t>BATCLC01/061/21</t>
  </si>
  <si>
    <t>BATCLC01/056/21</t>
  </si>
  <si>
    <t>PGDTLC01/0023/22</t>
  </si>
  <si>
    <t>BATCLC01/000/24</t>
  </si>
  <si>
    <t>BATCLC01/070/21</t>
  </si>
  <si>
    <t>BATCLC01/013/24</t>
  </si>
  <si>
    <t>BATCLC01/066/21</t>
  </si>
  <si>
    <t>ACT2016BA0013</t>
  </si>
  <si>
    <t>ACT2018BA0043</t>
  </si>
  <si>
    <t>PGDTLC01/0049/22</t>
  </si>
  <si>
    <t>BATCLC01/054/21</t>
  </si>
  <si>
    <t>BATCLC01/027/21</t>
  </si>
  <si>
    <t>ACT2017BA0036</t>
  </si>
  <si>
    <t>PGDTLC01/006/21</t>
  </si>
  <si>
    <t>BATCLC01/019/24</t>
  </si>
  <si>
    <t>BATCLC01/0037/22</t>
  </si>
  <si>
    <t>BATCLC01/0001/23</t>
  </si>
  <si>
    <t>PGDTLCO1/0008/23</t>
  </si>
  <si>
    <t>BATCLC01/019/21</t>
  </si>
  <si>
    <t>PGDTLC01/004/22</t>
  </si>
  <si>
    <t>BATCLC01/005/23</t>
  </si>
  <si>
    <t>BATCLC01/0032/22</t>
  </si>
  <si>
    <t>ACT2016BA0032</t>
  </si>
  <si>
    <t>ACT2016BA0023</t>
  </si>
  <si>
    <t>ACT 2017 BA0034</t>
  </si>
  <si>
    <t>PGDTLC01/010/22</t>
  </si>
  <si>
    <t>PGDTLC01/0056/22</t>
  </si>
  <si>
    <t>PGDTLC01/013/23</t>
  </si>
  <si>
    <t>PGDTLC01/0024/23</t>
  </si>
  <si>
    <t>PGDTLC01/007/24</t>
  </si>
  <si>
    <t>PGDTLC01/021/23</t>
  </si>
  <si>
    <t>ACT2016BA0009</t>
  </si>
  <si>
    <t>PGDTLCO1/0021/23</t>
  </si>
  <si>
    <t>PGDTLC01/0043/22</t>
  </si>
  <si>
    <t xml:space="preserve"> PGDTLC01/0030/22</t>
  </si>
  <si>
    <t>BATCLC01/058/21</t>
  </si>
  <si>
    <t>PGDTLC01/018/23</t>
  </si>
  <si>
    <t>ACT2016BA0011</t>
  </si>
  <si>
    <t>BATCLC01/0043/22</t>
  </si>
  <si>
    <t>ACT2018BA0010</t>
  </si>
  <si>
    <t>BATCLC01/0002/23</t>
  </si>
  <si>
    <t>BATCLC01/0007/23</t>
  </si>
  <si>
    <t>ACT2018BA0025</t>
  </si>
  <si>
    <t>PGDTLC01/0007/23</t>
  </si>
  <si>
    <t>PGDTLC01/024/24</t>
  </si>
  <si>
    <t>PGDTLC01/0014/22</t>
  </si>
  <si>
    <t>Steven-BATCLC01/085/21</t>
  </si>
  <si>
    <t>ACT2017BA00026</t>
  </si>
  <si>
    <t>BATCLC01/077/21</t>
  </si>
  <si>
    <t>PGDTLC01/063/21</t>
  </si>
  <si>
    <t>BATCLC01/010/24</t>
  </si>
  <si>
    <t>ACT2017BA0009</t>
  </si>
  <si>
    <t>BATCLC01/0009/23</t>
  </si>
  <si>
    <t>BATCLC01/011/24</t>
  </si>
  <si>
    <t>PGDTLC01/0024/22</t>
  </si>
  <si>
    <t>ACT2017BA0031</t>
  </si>
  <si>
    <t>PGDTLC01/0040/22</t>
  </si>
  <si>
    <t>BATCLC01/092/21</t>
  </si>
  <si>
    <t>BATCLC01/006/23</t>
  </si>
  <si>
    <t>ACT2018BA0036</t>
  </si>
  <si>
    <t>BATCLC01/082/21</t>
  </si>
  <si>
    <t>PGDTLC01/008/21</t>
  </si>
  <si>
    <t>BATCLC01/102/21</t>
  </si>
  <si>
    <t>ACT2018BA0008</t>
  </si>
  <si>
    <t>BATCLC01/0012/22</t>
  </si>
  <si>
    <t>PGDTLC01/023/24</t>
  </si>
  <si>
    <t>BATCLC01/025/24</t>
  </si>
  <si>
    <t>BATCLC01/018/21</t>
  </si>
  <si>
    <t>PGDLC01/026/21</t>
  </si>
  <si>
    <t>PGDTLC01/046/21</t>
  </si>
  <si>
    <t>BATCLC01/0042/22</t>
  </si>
  <si>
    <t>BATCLC01/011/21</t>
  </si>
  <si>
    <t>PGDTLC01/025/23</t>
  </si>
  <si>
    <t>PGDTLC01/0015/22</t>
  </si>
  <si>
    <t>PGDTLC01/015/23</t>
  </si>
  <si>
    <t>PDGTLC01/020/2022</t>
  </si>
  <si>
    <t>BATCLC01/024/21</t>
  </si>
  <si>
    <t>BATCLC01/0044/22</t>
  </si>
  <si>
    <t>PGDTLC01/0013/22</t>
  </si>
  <si>
    <t>A-BATCLC01/076/21</t>
  </si>
  <si>
    <t>PGDTLC01/022/24</t>
  </si>
  <si>
    <t>ACT 2017 BA0012</t>
  </si>
  <si>
    <t>BATCLC01/040/21</t>
  </si>
  <si>
    <t>PGDTLC 01/042/21</t>
  </si>
  <si>
    <t>BATCLC01/0035/22</t>
  </si>
  <si>
    <t>PGDTCL01/002/24</t>
  </si>
  <si>
    <t>D- ACT2017BA0002</t>
  </si>
  <si>
    <t>ACT2015BA00063</t>
  </si>
  <si>
    <t>PGDTLC01/025/24</t>
  </si>
  <si>
    <t>PGDTLC01/069/21</t>
  </si>
  <si>
    <t>PGDTLC01/0017/22</t>
  </si>
  <si>
    <t>PGDTLC01/006/24</t>
  </si>
  <si>
    <t>ACT2018BA0037</t>
  </si>
  <si>
    <t>BATCLC01/021/24</t>
  </si>
  <si>
    <t>PGDTLC01/017/21</t>
  </si>
  <si>
    <t>ACT2017BA0002</t>
  </si>
  <si>
    <t>PGDTLC01/040/21</t>
  </si>
  <si>
    <t>ACT2018BA0014</t>
  </si>
  <si>
    <t>BACTC01/004/23</t>
  </si>
  <si>
    <t>PGDTLC01/039/24</t>
  </si>
  <si>
    <t>PGDTLC01/0046/22</t>
  </si>
  <si>
    <t>BATCLC01/020/24</t>
  </si>
  <si>
    <t>PGDTLC01/013/21</t>
  </si>
  <si>
    <t>BATCLC01/073/21</t>
  </si>
  <si>
    <t>PGDTLC01/023/21</t>
  </si>
  <si>
    <t>BATCLC01/022/24</t>
  </si>
  <si>
    <t>BATCLC01/012/21</t>
  </si>
  <si>
    <t>PGDTLCO1/0005/23</t>
  </si>
  <si>
    <t>BATCLC01/0036/22</t>
  </si>
  <si>
    <t>BATCLC01/006/24</t>
  </si>
  <si>
    <t>PGDTLC01/0031/22</t>
  </si>
  <si>
    <t>BATCLC01/018/24</t>
  </si>
  <si>
    <t>PGDTLC01/0047/22</t>
  </si>
  <si>
    <t>BATCLC01/004/22</t>
  </si>
  <si>
    <t>PGDLC01/011/21</t>
  </si>
  <si>
    <t>PGDTLC01/003/21</t>
  </si>
  <si>
    <t>BATCLC01/098/21</t>
  </si>
  <si>
    <t>BATCLC01/013/21</t>
  </si>
  <si>
    <t>BATCLC01/031/21</t>
  </si>
  <si>
    <t>BATCLC01/002/23</t>
  </si>
  <si>
    <t>PGDTLC01/031/21</t>
  </si>
  <si>
    <t>BATCLC01/041/21</t>
  </si>
  <si>
    <t>PGDTLCO1/0003/23</t>
  </si>
  <si>
    <t>Michel-BATCLC01/096/21</t>
  </si>
  <si>
    <t>PGDTLC01/048/24</t>
  </si>
  <si>
    <t>PGDTLC01/0009/23</t>
  </si>
  <si>
    <t>BATCLC01/068/21</t>
  </si>
  <si>
    <t>MIHETO MUTABAZI P-BATCLC01/068/21</t>
  </si>
  <si>
    <t>PGDTLC01/006/23</t>
  </si>
  <si>
    <t>PGDTLC01/0058/22</t>
  </si>
  <si>
    <t>BATCLC01/006/22</t>
  </si>
  <si>
    <t>BATCLC01/0027/22</t>
  </si>
  <si>
    <t>PGDTLC01/007/22</t>
  </si>
  <si>
    <t>BATCLC01/016/24</t>
  </si>
  <si>
    <t>PGDTLC01/0013/23</t>
  </si>
  <si>
    <t>BATCLC01/048/21</t>
  </si>
  <si>
    <t>BATCLC01/083/21</t>
  </si>
  <si>
    <t>PGDTLC01/0022/22</t>
  </si>
  <si>
    <t>PGDTLC01/048/21</t>
  </si>
  <si>
    <t>ACT2016BA0014</t>
  </si>
  <si>
    <t>ACT2017BA0035</t>
  </si>
  <si>
    <t>BATCLC01/002/24</t>
  </si>
  <si>
    <t>BATCLC01/015/24</t>
  </si>
  <si>
    <t>BATCLC01/0031/22</t>
  </si>
  <si>
    <t>PGDTLC01/041/24</t>
  </si>
  <si>
    <t>PGDTLC01/018/21</t>
  </si>
  <si>
    <t>ACT2018BA0011</t>
  </si>
  <si>
    <t>BATCLC01/091/21</t>
  </si>
  <si>
    <t>BATCLC01/028/21</t>
  </si>
  <si>
    <t>PGDLC01/030/21</t>
  </si>
  <si>
    <t>BATCLC01/009/23</t>
  </si>
  <si>
    <t>PGDTLC01/047/24</t>
  </si>
  <si>
    <t>BATCLC01/0008/23</t>
  </si>
  <si>
    <t>BATCLC01/0039/22</t>
  </si>
  <si>
    <t>PGDTLC01/038/24</t>
  </si>
  <si>
    <t>PGDTLC01/005/23</t>
  </si>
  <si>
    <t>BATCLC01/088/21</t>
  </si>
  <si>
    <t>BATCLC01/0101/23</t>
  </si>
  <si>
    <t>PGDTLC01/034/21</t>
  </si>
  <si>
    <t>PGDTLC01/026/24</t>
  </si>
  <si>
    <t>PGDTLC01/0061/22</t>
  </si>
  <si>
    <t>BATCLC01/008/22</t>
  </si>
  <si>
    <t>PGDTLC01/054/21</t>
  </si>
  <si>
    <t>PGDTLC01/050/21</t>
  </si>
  <si>
    <t>PGDTLC01/0029/22</t>
  </si>
  <si>
    <t>ACT2018BA0049</t>
  </si>
  <si>
    <t>BATCLC01/074/21</t>
  </si>
  <si>
    <t>ACT2015BA00062</t>
  </si>
  <si>
    <t>PGDTLC01/014/21</t>
  </si>
  <si>
    <t>PGDTLC01/026/23</t>
  </si>
  <si>
    <t>PGDTLC01/050/24</t>
  </si>
  <si>
    <t>BATCLC01/017/23</t>
  </si>
  <si>
    <t>ACT2017BA0038</t>
  </si>
  <si>
    <t>BATCLC01/0006/23</t>
  </si>
  <si>
    <t>PGDTLC01/036/24</t>
  </si>
  <si>
    <t>BATCLC01/003/24</t>
  </si>
  <si>
    <t>BATCLC01/014/24</t>
  </si>
  <si>
    <t xml:space="preserve"> BATCLC01/008/24</t>
  </si>
  <si>
    <t>BATCLC01/013/23</t>
  </si>
  <si>
    <t>BATCLC01/044/21</t>
  </si>
  <si>
    <t>PGDTLC01/028/24</t>
  </si>
  <si>
    <t>BATCLC01/046/21</t>
  </si>
  <si>
    <t>PGDTLC01/032/21</t>
  </si>
  <si>
    <t>BATCLC01/084/21</t>
  </si>
  <si>
    <t>PGDTLCO1/0002/23</t>
  </si>
  <si>
    <t>PGDTLC01/022/21</t>
  </si>
  <si>
    <t>BATCLC01/072/21</t>
  </si>
  <si>
    <t>BATCLC01/007/24</t>
  </si>
  <si>
    <t>PGDTLC01/008/22</t>
  </si>
  <si>
    <t>PGDTLC01/012/23</t>
  </si>
  <si>
    <t>PGDTLC01/014/24</t>
  </si>
  <si>
    <t>BATCLC01/0046/22</t>
  </si>
  <si>
    <t>ACT2017BA0034</t>
  </si>
  <si>
    <t>PGDTLC01/035/21</t>
  </si>
  <si>
    <t>BATCLC01/037/21</t>
  </si>
  <si>
    <t>PGDTLC01/037/21</t>
  </si>
  <si>
    <t>PGDTLC01/0064/22</t>
  </si>
  <si>
    <t>PGDTLC01/047/21</t>
  </si>
  <si>
    <t>BATCLC01/103/21</t>
  </si>
  <si>
    <t>PGDTLC01/042/24</t>
  </si>
  <si>
    <t>PGDTLC01/032/24</t>
  </si>
  <si>
    <t>PGDTLC01/0057/22</t>
  </si>
  <si>
    <t>BATCLC01/035/21</t>
  </si>
  <si>
    <t>BATCLC01/0012/23</t>
  </si>
  <si>
    <t>PGDTLC01/0018/22</t>
  </si>
  <si>
    <t>PGDTLC01/007/23</t>
  </si>
  <si>
    <t>PGDTLC01/036/21</t>
  </si>
  <si>
    <t>PGDTLC01/040/24</t>
  </si>
  <si>
    <t>BATCLC01/019/23</t>
  </si>
  <si>
    <t>BATCLC01/0019/22</t>
  </si>
  <si>
    <t>BATCLC01/057/21</t>
  </si>
  <si>
    <t>PGDTLC01/0027/22</t>
  </si>
  <si>
    <t>BATCLC01/036/21</t>
  </si>
  <si>
    <t>BATCLC01/023/24</t>
  </si>
  <si>
    <t>PGDTLC01/012/24</t>
  </si>
  <si>
    <t>BATCLC01/060/21</t>
  </si>
  <si>
    <t>BATCLC01/039/21</t>
  </si>
  <si>
    <t>BATCLC01/0041/22</t>
  </si>
  <si>
    <t>BATCLC01/075/21</t>
  </si>
  <si>
    <t>PGDTLC01/0048/22</t>
  </si>
  <si>
    <t>BATCLC01/003/23</t>
  </si>
  <si>
    <t>ACT2017BA0039</t>
  </si>
  <si>
    <t>PGDTLC01/067/21</t>
  </si>
  <si>
    <t>PGDTLC01/008/24</t>
  </si>
  <si>
    <t>BATCLC01/0015/23</t>
  </si>
  <si>
    <t>PGDTLC01/0053/22</t>
  </si>
  <si>
    <t>PGDTLC01/049/24</t>
  </si>
  <si>
    <t>PGDTLC01/016/21</t>
  </si>
  <si>
    <t>PGDTLC01/005/21</t>
  </si>
  <si>
    <t>PGDTLC01/0016/23</t>
  </si>
  <si>
    <t xml:space="preserve"> Benitha I-PGDTLC01/056/21</t>
  </si>
  <si>
    <t>ACT2015BA0009</t>
  </si>
  <si>
    <t>BATCLC01/0004/23</t>
  </si>
  <si>
    <t>PGDTLC01/0021/22</t>
  </si>
  <si>
    <t>BATCLC01/005/22</t>
  </si>
  <si>
    <t>BATCLC01/0038/22</t>
  </si>
  <si>
    <t>ACT2016BA0022</t>
  </si>
  <si>
    <t>ACT2018BA0012</t>
  </si>
  <si>
    <t>BATCLC01/0013/22</t>
  </si>
  <si>
    <t>ACT2017BA0024</t>
  </si>
  <si>
    <t>PGDTLC01/002/23</t>
  </si>
  <si>
    <t>BATCLC01/0030/22</t>
  </si>
  <si>
    <t>BATCLC01/086/21</t>
  </si>
  <si>
    <t>ACT2017BA0020</t>
  </si>
  <si>
    <t>BATCLC01/055/21</t>
  </si>
  <si>
    <t>PGDTLC01/0060/22</t>
  </si>
  <si>
    <t>PGDTLC01/007/21</t>
  </si>
  <si>
    <t>PGDTLC01/049/21</t>
  </si>
  <si>
    <t>ACT2016BA0016</t>
  </si>
  <si>
    <t>BATCLC01/0049/22</t>
  </si>
  <si>
    <t>BATCLC01/005/24</t>
  </si>
  <si>
    <t>BATCLC01/0005/23</t>
  </si>
  <si>
    <t>BATCLC01/034/21</t>
  </si>
  <si>
    <t>PGDTLC01/0044/22</t>
  </si>
  <si>
    <t>BATCLC01/065/21</t>
  </si>
  <si>
    <t>PGDTLC01/0036/22</t>
  </si>
  <si>
    <t>PGDTLCO1/0004/23</t>
  </si>
  <si>
    <t>PGDTLCO1/0001/23</t>
  </si>
  <si>
    <t>PGDTLC01/0038/22</t>
  </si>
  <si>
    <t>PGDTLC01/044/24</t>
  </si>
  <si>
    <t>ACT2015BA00082</t>
  </si>
  <si>
    <t>BATCLC01/081/21</t>
  </si>
  <si>
    <t>BATCLC01/059/21</t>
  </si>
  <si>
    <t>PGDTLC01/017/23</t>
  </si>
  <si>
    <t>ACT2017BA0023</t>
  </si>
  <si>
    <t>BATCLC01/049/21</t>
  </si>
  <si>
    <t>BATCLC01/0015/22</t>
  </si>
  <si>
    <t>BATCLC01/047/21</t>
  </si>
  <si>
    <t>BATCLC01/033/21</t>
  </si>
  <si>
    <t>BATCLC01/063/21</t>
  </si>
  <si>
    <t>BATCLC01/010/23</t>
  </si>
  <si>
    <t>ACT2018BA0031</t>
  </si>
  <si>
    <t>BATCLC01/101/2</t>
  </si>
  <si>
    <t>BATCLC01/043/21</t>
  </si>
  <si>
    <t>PGDTLC01/027/21</t>
  </si>
  <si>
    <t>PGDTLC01/016/23</t>
  </si>
  <si>
    <t>BATCLC01/012/24</t>
  </si>
  <si>
    <t>PGDTLC01/010/23</t>
  </si>
  <si>
    <t>PGDTLC01/029/21</t>
  </si>
  <si>
    <t xml:space="preserve"> PGDTLC01/0014/23</t>
  </si>
  <si>
    <t>BATCLC01/051/21</t>
  </si>
  <si>
    <t>BATCLC01/030/21</t>
  </si>
  <si>
    <t>BATCLC01/0016/22</t>
  </si>
  <si>
    <t>ACT2016BA0021</t>
  </si>
  <si>
    <t>PGDTLC01/009/24</t>
  </si>
  <si>
    <t>BATCLC01/079/21</t>
  </si>
  <si>
    <t>Alexis-PGDTLC01/053/21</t>
  </si>
  <si>
    <t>PGDTLC01/0017/23</t>
  </si>
  <si>
    <t>BATCLC01/014/21</t>
  </si>
  <si>
    <t xml:space="preserve"> PGDTLC01/003/23</t>
  </si>
  <si>
    <t>PGDTLC01/0055/22</t>
  </si>
  <si>
    <t>PGDTLC01/064/21</t>
  </si>
  <si>
    <t>PGDTLC01/0039/22</t>
  </si>
  <si>
    <t>BATCLC01/069/21</t>
  </si>
  <si>
    <t>PGDTLC01/0051/2</t>
  </si>
  <si>
    <t>PGDTLC01/035/24</t>
  </si>
  <si>
    <t>BATCLC01/0017/22</t>
  </si>
  <si>
    <t>BATCLC01/064/21</t>
  </si>
  <si>
    <t>PGDTLC01/0032/22</t>
  </si>
  <si>
    <t>PGDTLC01/0033/22</t>
  </si>
  <si>
    <t>BATCLC01/104/21</t>
  </si>
  <si>
    <t>PGDTLC01/020/23</t>
  </si>
  <si>
    <t>-PGDTLC01/070/21</t>
  </si>
  <si>
    <t>-BATCLC01/018/23</t>
  </si>
  <si>
    <t>PGDTLC01/016/24</t>
  </si>
  <si>
    <t>PGDTLC01/020/24</t>
  </si>
  <si>
    <t>PGDTLC01/024/21</t>
  </si>
  <si>
    <t>BATCLC01/100/21</t>
  </si>
  <si>
    <t>ACT2017BA0025</t>
  </si>
  <si>
    <t>PGDTLC01/018/24</t>
  </si>
  <si>
    <t>PGDTLC01/014/23</t>
  </si>
  <si>
    <t>PGDTLC01/0012/23</t>
  </si>
  <si>
    <t>PGDTLC01/021/24</t>
  </si>
  <si>
    <t>PGDTLC01/013/24</t>
  </si>
  <si>
    <t>BATCLC01/007/23</t>
  </si>
  <si>
    <t>PGDTLC01/029/24</t>
  </si>
  <si>
    <t>PGDTLC01/0023/23</t>
  </si>
  <si>
    <t>ACT2017BA0077</t>
  </si>
  <si>
    <t>ACT2017BA0021</t>
  </si>
  <si>
    <t>PGDTLC01/019/24</t>
  </si>
  <si>
    <t>PGDTLC01/004/23</t>
  </si>
  <si>
    <t>PGDTLC01/025/21</t>
  </si>
  <si>
    <t>PGDTLC01/034/24</t>
  </si>
  <si>
    <t>PGDLTC01/015/21</t>
  </si>
  <si>
    <t>BATCLC01/029/21</t>
  </si>
  <si>
    <t>PGDTLC01/0063/22</t>
  </si>
  <si>
    <t>ACT2018BA0045</t>
  </si>
  <si>
    <t>PGDTLC01/030/24</t>
  </si>
  <si>
    <t>BATCLC01/106/21</t>
  </si>
  <si>
    <t>PGDTLC01/011/23</t>
  </si>
  <si>
    <t>ACT2016BA0003</t>
  </si>
  <si>
    <t>ACT2017BA0017</t>
  </si>
  <si>
    <t>BATCLC01/016/21</t>
  </si>
  <si>
    <t>BATCLC01/0003/23</t>
  </si>
  <si>
    <t>ACT2017BA0006</t>
  </si>
  <si>
    <t>BATCLC01/024/24</t>
  </si>
  <si>
    <t>BATCLC01/014/23</t>
  </si>
  <si>
    <t>PGDTLC01/043/24</t>
  </si>
  <si>
    <t>BATCLC01/0048/22</t>
  </si>
  <si>
    <t>BATCLC01/078/21</t>
  </si>
  <si>
    <t>BATCLC01/0034/22</t>
  </si>
  <si>
    <t>BATCLC01/0014/23</t>
  </si>
  <si>
    <t>PGDTLC01/003/24</t>
  </si>
  <si>
    <t>PGDTLC01/015/24</t>
  </si>
  <si>
    <t>PGDTLC01/0022/23</t>
  </si>
  <si>
    <t>PGDTLC01/046/24</t>
  </si>
  <si>
    <t>PGDTLC01/037/24</t>
  </si>
  <si>
    <t>PGDTLC01/0037/22</t>
  </si>
  <si>
    <t>PGDLL01/009/22</t>
  </si>
  <si>
    <t>BATCLC01/042/21</t>
  </si>
  <si>
    <t>ACT2017BA0041</t>
  </si>
  <si>
    <t>BATCLC01/007/22</t>
  </si>
  <si>
    <t>PGDTLC01/0010/23</t>
  </si>
  <si>
    <t>BATCLC01/017/24</t>
  </si>
  <si>
    <t>BATCLC01/087/21</t>
  </si>
  <si>
    <t>ACT2017BA0015</t>
  </si>
  <si>
    <t>BATCLC01/020/23</t>
  </si>
  <si>
    <t>PGDTLC01/045/24</t>
  </si>
  <si>
    <t>PGDTLC01/004/24</t>
  </si>
  <si>
    <t>PGDTLC01/0054/22</t>
  </si>
  <si>
    <t>PGDTLC01/0042/22</t>
  </si>
  <si>
    <t>BATCLC01/071/21</t>
  </si>
  <si>
    <t>PGDTLC01/020/21</t>
  </si>
  <si>
    <t>BATCLC01/0013/23</t>
  </si>
  <si>
    <t xml:space="preserve"> PGDTLC01/017/24</t>
  </si>
  <si>
    <t>PGDTLC01/005/22</t>
  </si>
  <si>
    <t>ACT2017BA0044</t>
  </si>
  <si>
    <t>PGDTLC01/028/21</t>
  </si>
  <si>
    <t>BATCLC01/067/21</t>
  </si>
  <si>
    <t>BATCLC01/097/21</t>
  </si>
  <si>
    <t>PGDTLC01/0011/23</t>
  </si>
  <si>
    <t>BATCLC01/045/21</t>
  </si>
  <si>
    <t>PGDTLC01/010/24</t>
  </si>
  <si>
    <t>BATCLC01/052/21</t>
  </si>
  <si>
    <t>PGDTLC01/027/24</t>
  </si>
  <si>
    <t>PGDTLC01/009/23</t>
  </si>
  <si>
    <t>ACT2018BA0019</t>
  </si>
  <si>
    <t>PGDTLC01/033/24</t>
  </si>
  <si>
    <t>PGDTLC01/011/24</t>
  </si>
  <si>
    <t>BATCLC01/003/22</t>
  </si>
  <si>
    <t>PGDTLC01/058/21</t>
  </si>
  <si>
    <t>BATCLC01/099/21</t>
  </si>
  <si>
    <t>BATCLC01/0018/22</t>
  </si>
  <si>
    <t>BATCLC01/017/21</t>
  </si>
  <si>
    <t>PGDTLC01/052/</t>
  </si>
  <si>
    <t>BATCLC01/0016/23</t>
  </si>
  <si>
    <t xml:space="preserve"> BATCLC01/012/23</t>
  </si>
  <si>
    <t>BATCLC01/0033/22</t>
  </si>
  <si>
    <t>BATCLC01/0011/23</t>
  </si>
  <si>
    <t>PGDTLC01/0028/22</t>
  </si>
  <si>
    <t>BATCLC01/090/21</t>
  </si>
  <si>
    <t>PGDTLC01/019/21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</si>
</sst>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39" fontId="1" fillId="0" borderId="0" xfId="0" applyNumberFormat="1" applyFont="1"/>
    <xf numFmtId="49" fontId="2" fillId="0" borderId="0" xfId="0" applyNumberFormat="1" applyFont="1"/>
    <xf numFmtId="39" fontId="2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39" fontId="2" fillId="0" borderId="2" xfId="0" applyNumberFormat="1" applyFont="1" applyBorder="1"/>
    <xf numFmtId="39" fontId="1" fillId="0" borderId="3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28575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1068"/>
  <sheetViews>
    <sheetView tabSelected="1" workbookViewId="0">
      <pane xSplit="1" ySplit="1" topLeftCell="B1050" activePane="bottomRight" state="frozenSplit"/>
      <selection pane="topRight" activeCell="C1" sqref="C1"/>
      <selection pane="bottomLeft" activeCell="A2" sqref="A2"/>
      <selection pane="bottomRight" activeCell="B1067" sqref="B1067"/>
    </sheetView>
  </sheetViews>
  <sheetFormatPr defaultRowHeight="15" x14ac:dyDescent="0.25"/>
  <cols>
    <col min="1" max="1" width="24.5703125" customWidth="1"/>
    <col min="2" max="2" width="41.140625" customWidth="1"/>
    <col min="3" max="3" width="2.28515625" customWidth="1"/>
    <col min="4" max="4" width="8.7109375" bestFit="1" customWidth="1"/>
    <col min="5" max="5" width="10.85546875" bestFit="1" customWidth="1"/>
    <col min="6" max="6" width="11.42578125" bestFit="1" customWidth="1"/>
  </cols>
  <sheetData>
    <row r="1" spans="1:6" s="13" customFormat="1" ht="15.75" thickBot="1" x14ac:dyDescent="0.3">
      <c r="A1" s="11"/>
      <c r="B1" s="12" t="s">
        <v>0</v>
      </c>
      <c r="C1" s="11"/>
      <c r="D1" s="12" t="s">
        <v>1</v>
      </c>
      <c r="E1" s="12" t="s">
        <v>2</v>
      </c>
      <c r="F1" s="12" t="s">
        <v>3</v>
      </c>
    </row>
    <row r="2" spans="1:6" ht="15.75" thickTop="1" x14ac:dyDescent="0.25">
      <c r="A2" s="2" t="s">
        <v>491</v>
      </c>
      <c r="B2" s="2" t="s">
        <v>4</v>
      </c>
      <c r="C2" s="2"/>
      <c r="D2" s="6"/>
      <c r="E2" s="3"/>
      <c r="F2" s="3">
        <v>-50</v>
      </c>
    </row>
    <row r="3" spans="1:6" x14ac:dyDescent="0.25">
      <c r="A3" s="2" t="s">
        <v>492</v>
      </c>
      <c r="B3" s="2" t="s">
        <v>5</v>
      </c>
      <c r="C3" s="2"/>
      <c r="D3" s="6"/>
      <c r="E3" s="3"/>
      <c r="F3" s="3">
        <v>665000</v>
      </c>
    </row>
    <row r="4" spans="1:6" hidden="1" x14ac:dyDescent="0.25">
      <c r="A4" s="2"/>
      <c r="B4" s="2"/>
      <c r="C4" s="2"/>
      <c r="D4" s="6"/>
      <c r="E4" s="3"/>
      <c r="F4" s="3">
        <v>-1</v>
      </c>
    </row>
    <row r="5" spans="1:6" ht="15.75" hidden="1" thickBot="1" x14ac:dyDescent="0.3">
      <c r="A5" s="1"/>
      <c r="B5" s="4"/>
      <c r="C5" s="4"/>
      <c r="D5" s="7"/>
      <c r="E5" s="8"/>
      <c r="F5" s="8"/>
    </row>
    <row r="6" spans="1:6" hidden="1" x14ac:dyDescent="0.25">
      <c r="A6" s="4"/>
      <c r="B6" s="4"/>
      <c r="C6" s="4"/>
      <c r="D6" s="7"/>
      <c r="E6" s="5">
        <f>ROUND(SUM(E4:E5),5)</f>
        <v>0</v>
      </c>
      <c r="F6" s="5">
        <f>F5</f>
        <v>0</v>
      </c>
    </row>
    <row r="7" spans="1:6" x14ac:dyDescent="0.25">
      <c r="A7" s="2" t="s">
        <v>493</v>
      </c>
      <c r="B7" s="2" t="s">
        <v>6</v>
      </c>
      <c r="C7" s="2"/>
      <c r="D7" s="6"/>
      <c r="E7" s="3"/>
      <c r="F7" s="3">
        <v>305000</v>
      </c>
    </row>
    <row r="8" spans="1:6" ht="15.75" thickBot="1" x14ac:dyDescent="0.3">
      <c r="A8" s="1" t="s">
        <v>493</v>
      </c>
      <c r="B8" s="4" t="s">
        <v>170</v>
      </c>
      <c r="C8" s="4"/>
      <c r="D8" s="7">
        <v>45313</v>
      </c>
      <c r="E8" s="8">
        <v>-305000</v>
      </c>
      <c r="F8" s="8">
        <f>ROUND(F7+E8,5)</f>
        <v>0</v>
      </c>
    </row>
    <row r="9" spans="1:6" x14ac:dyDescent="0.25">
      <c r="A9" s="2" t="s">
        <v>494</v>
      </c>
      <c r="B9" s="2" t="s">
        <v>7</v>
      </c>
      <c r="C9" s="2"/>
      <c r="D9" s="6"/>
      <c r="E9" s="3"/>
      <c r="F9" s="3">
        <v>0</v>
      </c>
    </row>
    <row r="10" spans="1:6" x14ac:dyDescent="0.25">
      <c r="A10" s="4" t="s">
        <v>494</v>
      </c>
      <c r="B10" s="4" t="s">
        <v>171</v>
      </c>
      <c r="C10" s="4"/>
      <c r="D10" s="7">
        <v>45306</v>
      </c>
      <c r="E10" s="5">
        <v>300000</v>
      </c>
      <c r="F10" s="5">
        <f>ROUND(F9+E10,5)</f>
        <v>300000</v>
      </c>
    </row>
    <row r="11" spans="1:6" ht="15.75" thickBot="1" x14ac:dyDescent="0.3">
      <c r="A11" s="4" t="s">
        <v>494</v>
      </c>
      <c r="B11" s="4" t="s">
        <v>170</v>
      </c>
      <c r="C11" s="4"/>
      <c r="D11" s="7">
        <v>45351</v>
      </c>
      <c r="E11" s="8">
        <v>-300000</v>
      </c>
      <c r="F11" s="8">
        <f>ROUND(F10+E11,5)</f>
        <v>0</v>
      </c>
    </row>
    <row r="12" spans="1:6" x14ac:dyDescent="0.25">
      <c r="A12" s="2" t="s">
        <v>495</v>
      </c>
      <c r="B12" s="2" t="s">
        <v>8</v>
      </c>
      <c r="C12" s="2"/>
      <c r="D12" s="6"/>
      <c r="E12" s="3"/>
      <c r="F12" s="3">
        <v>0</v>
      </c>
    </row>
    <row r="13" spans="1:6" x14ac:dyDescent="0.25">
      <c r="A13" s="2" t="s">
        <v>496</v>
      </c>
      <c r="B13" s="2" t="s">
        <v>9</v>
      </c>
      <c r="C13" s="2"/>
      <c r="D13" s="6"/>
      <c r="E13" s="3"/>
      <c r="F13" s="3">
        <v>200000</v>
      </c>
    </row>
    <row r="14" spans="1:6" x14ac:dyDescent="0.25">
      <c r="A14" s="4" t="s">
        <v>496</v>
      </c>
      <c r="B14" s="4" t="s">
        <v>171</v>
      </c>
      <c r="C14" s="4"/>
      <c r="D14" s="7">
        <v>45322</v>
      </c>
      <c r="E14" s="5">
        <v>400000</v>
      </c>
      <c r="F14" s="5">
        <f>ROUND(F13+E14,5)</f>
        <v>600000</v>
      </c>
    </row>
    <row r="15" spans="1:6" x14ac:dyDescent="0.25">
      <c r="A15" s="4" t="s">
        <v>496</v>
      </c>
      <c r="B15" s="4" t="s">
        <v>170</v>
      </c>
      <c r="C15" s="4"/>
      <c r="D15" s="7">
        <v>45328</v>
      </c>
      <c r="E15" s="5">
        <v>-200000</v>
      </c>
      <c r="F15" s="5">
        <f>ROUND(F14+E15,5)</f>
        <v>400000</v>
      </c>
    </row>
    <row r="16" spans="1:6" ht="15.75" thickBot="1" x14ac:dyDescent="0.3">
      <c r="A16" s="4" t="s">
        <v>496</v>
      </c>
      <c r="B16" s="4" t="s">
        <v>170</v>
      </c>
      <c r="C16" s="4"/>
      <c r="D16" s="7">
        <v>45383</v>
      </c>
      <c r="E16" s="8">
        <v>-200000</v>
      </c>
      <c r="F16" s="8">
        <f>ROUND(F15+E16,5)</f>
        <v>200000</v>
      </c>
    </row>
    <row r="17" spans="1:6" hidden="1" x14ac:dyDescent="0.25">
      <c r="A17" s="2"/>
      <c r="B17" s="2" t="s">
        <v>10</v>
      </c>
      <c r="C17" s="2"/>
      <c r="D17" s="6"/>
      <c r="E17" s="3"/>
      <c r="F17" s="3">
        <v>0</v>
      </c>
    </row>
    <row r="18" spans="1:6" hidden="1" x14ac:dyDescent="0.25">
      <c r="A18" s="4"/>
      <c r="B18" s="4" t="s">
        <v>11</v>
      </c>
      <c r="C18" s="4"/>
      <c r="D18" s="7"/>
      <c r="E18" s="5"/>
      <c r="F18" s="5">
        <f>F17</f>
        <v>0</v>
      </c>
    </row>
    <row r="19" spans="1:6" hidden="1" x14ac:dyDescent="0.25">
      <c r="A19" s="2"/>
      <c r="B19" s="2" t="s">
        <v>12</v>
      </c>
      <c r="C19" s="2"/>
      <c r="D19" s="6"/>
      <c r="E19" s="3"/>
      <c r="F19" s="3">
        <v>0</v>
      </c>
    </row>
    <row r="20" spans="1:6" hidden="1" x14ac:dyDescent="0.25">
      <c r="A20" s="4"/>
      <c r="B20" s="4" t="s">
        <v>13</v>
      </c>
      <c r="C20" s="4"/>
      <c r="D20" s="7"/>
      <c r="E20" s="5"/>
      <c r="F20" s="5">
        <f>F19</f>
        <v>0</v>
      </c>
    </row>
    <row r="21" spans="1:6" hidden="1" x14ac:dyDescent="0.25">
      <c r="A21" s="2"/>
      <c r="B21" s="2" t="s">
        <v>14</v>
      </c>
      <c r="C21" s="2"/>
      <c r="D21" s="6"/>
      <c r="E21" s="3"/>
      <c r="F21" s="3">
        <v>82400</v>
      </c>
    </row>
    <row r="22" spans="1:6" ht="15.75" hidden="1" thickBot="1" x14ac:dyDescent="0.3">
      <c r="A22" s="1"/>
      <c r="B22" s="4" t="s">
        <v>170</v>
      </c>
      <c r="C22" s="4"/>
      <c r="D22" s="7">
        <v>45362</v>
      </c>
      <c r="E22" s="8">
        <v>-10590</v>
      </c>
      <c r="F22" s="8">
        <f>ROUND(F21+E22,5)</f>
        <v>71810</v>
      </c>
    </row>
    <row r="23" spans="1:6" hidden="1" x14ac:dyDescent="0.25">
      <c r="A23" s="4"/>
      <c r="B23" s="4" t="s">
        <v>15</v>
      </c>
      <c r="C23" s="4"/>
      <c r="D23" s="7"/>
      <c r="E23" s="5">
        <f>ROUND(SUM(E21:E22),5)</f>
        <v>-10590</v>
      </c>
      <c r="F23" s="5">
        <f>F22</f>
        <v>71810</v>
      </c>
    </row>
    <row r="24" spans="1:6" hidden="1" x14ac:dyDescent="0.25">
      <c r="A24" s="2"/>
      <c r="B24" s="2" t="s">
        <v>16</v>
      </c>
      <c r="C24" s="2"/>
      <c r="D24" s="6"/>
      <c r="E24" s="3"/>
      <c r="F24" s="3">
        <v>0</v>
      </c>
    </row>
    <row r="25" spans="1:6" hidden="1" x14ac:dyDescent="0.25">
      <c r="A25" s="4"/>
      <c r="B25" s="4" t="s">
        <v>171</v>
      </c>
      <c r="C25" s="4"/>
      <c r="D25" s="7">
        <v>45382</v>
      </c>
      <c r="E25" s="5">
        <v>109050</v>
      </c>
      <c r="F25" s="5">
        <f>ROUND(F24+E25,5)</f>
        <v>109050</v>
      </c>
    </row>
    <row r="26" spans="1:6" ht="15.75" hidden="1" thickBot="1" x14ac:dyDescent="0.3">
      <c r="A26" s="4"/>
      <c r="B26" s="4" t="s">
        <v>170</v>
      </c>
      <c r="C26" s="4"/>
      <c r="D26" s="7">
        <v>45426</v>
      </c>
      <c r="E26" s="8">
        <v>-109050</v>
      </c>
      <c r="F26" s="8">
        <f>ROUND(F25+E26,5)</f>
        <v>0</v>
      </c>
    </row>
    <row r="27" spans="1:6" hidden="1" x14ac:dyDescent="0.25">
      <c r="A27" s="4"/>
      <c r="B27" s="4" t="s">
        <v>17</v>
      </c>
      <c r="C27" s="4"/>
      <c r="D27" s="7"/>
      <c r="E27" s="5">
        <f>ROUND(SUM(E24:E26),5)</f>
        <v>0</v>
      </c>
      <c r="F27" s="5">
        <f>F26</f>
        <v>0</v>
      </c>
    </row>
    <row r="28" spans="1:6" hidden="1" x14ac:dyDescent="0.25">
      <c r="A28" s="2"/>
      <c r="B28" s="2" t="s">
        <v>18</v>
      </c>
      <c r="C28" s="2"/>
      <c r="D28" s="6"/>
      <c r="E28" s="3"/>
      <c r="F28" s="3">
        <v>0</v>
      </c>
    </row>
    <row r="29" spans="1:6" hidden="1" x14ac:dyDescent="0.25">
      <c r="A29" s="4"/>
      <c r="B29" s="4" t="s">
        <v>19</v>
      </c>
      <c r="C29" s="4"/>
      <c r="D29" s="7"/>
      <c r="E29" s="5"/>
      <c r="F29" s="5">
        <f>F28</f>
        <v>0</v>
      </c>
    </row>
    <row r="30" spans="1:6" hidden="1" x14ac:dyDescent="0.25">
      <c r="A30" s="2"/>
      <c r="B30" s="2" t="s">
        <v>20</v>
      </c>
      <c r="C30" s="2"/>
      <c r="D30" s="6"/>
      <c r="E30" s="3"/>
      <c r="F30" s="3">
        <v>0</v>
      </c>
    </row>
    <row r="31" spans="1:6" ht="15.75" hidden="1" thickBot="1" x14ac:dyDescent="0.3">
      <c r="A31" s="1"/>
      <c r="B31" s="4" t="s">
        <v>170</v>
      </c>
      <c r="C31" s="4"/>
      <c r="D31" s="7">
        <v>45426</v>
      </c>
      <c r="E31" s="8">
        <v>-19200</v>
      </c>
      <c r="F31" s="8">
        <f>ROUND(F30+E31,5)</f>
        <v>-19200</v>
      </c>
    </row>
    <row r="32" spans="1:6" hidden="1" x14ac:dyDescent="0.25">
      <c r="A32" s="4"/>
      <c r="B32" s="4" t="s">
        <v>21</v>
      </c>
      <c r="C32" s="4"/>
      <c r="D32" s="7"/>
      <c r="E32" s="5">
        <f>ROUND(SUM(E30:E31),5)</f>
        <v>-19200</v>
      </c>
      <c r="F32" s="5">
        <f>F31</f>
        <v>-19200</v>
      </c>
    </row>
    <row r="33" spans="1:6" hidden="1" x14ac:dyDescent="0.25">
      <c r="A33" s="2"/>
      <c r="B33" s="2" t="s">
        <v>22</v>
      </c>
      <c r="C33" s="2"/>
      <c r="D33" s="6"/>
      <c r="E33" s="3"/>
      <c r="F33" s="3">
        <v>0</v>
      </c>
    </row>
    <row r="34" spans="1:6" hidden="1" x14ac:dyDescent="0.25">
      <c r="A34" s="4"/>
      <c r="B34" s="4" t="s">
        <v>171</v>
      </c>
      <c r="C34" s="4"/>
      <c r="D34" s="7">
        <v>45382</v>
      </c>
      <c r="E34" s="5">
        <v>31950</v>
      </c>
      <c r="F34" s="5">
        <f>ROUND(F33+E34,5)</f>
        <v>31950</v>
      </c>
    </row>
    <row r="35" spans="1:6" ht="15.75" hidden="1" thickBot="1" x14ac:dyDescent="0.3">
      <c r="A35" s="4"/>
      <c r="B35" s="4" t="s">
        <v>170</v>
      </c>
      <c r="C35" s="4"/>
      <c r="D35" s="7">
        <v>45426</v>
      </c>
      <c r="E35" s="8">
        <v>-31950</v>
      </c>
      <c r="F35" s="8">
        <f>ROUND(F34+E35,5)</f>
        <v>0</v>
      </c>
    </row>
    <row r="36" spans="1:6" hidden="1" x14ac:dyDescent="0.25">
      <c r="A36" s="4"/>
      <c r="B36" s="4" t="s">
        <v>23</v>
      </c>
      <c r="C36" s="4"/>
      <c r="D36" s="7"/>
      <c r="E36" s="5">
        <f>ROUND(SUM(E33:E35),5)</f>
        <v>0</v>
      </c>
      <c r="F36" s="5">
        <f>F35</f>
        <v>0</v>
      </c>
    </row>
    <row r="37" spans="1:6" hidden="1" x14ac:dyDescent="0.25">
      <c r="A37" s="2"/>
      <c r="B37" s="2" t="s">
        <v>24</v>
      </c>
      <c r="C37" s="2"/>
      <c r="D37" s="6"/>
      <c r="E37" s="3"/>
      <c r="F37" s="3">
        <v>0</v>
      </c>
    </row>
    <row r="38" spans="1:6" hidden="1" x14ac:dyDescent="0.25">
      <c r="A38" s="4"/>
      <c r="B38" s="4" t="s">
        <v>171</v>
      </c>
      <c r="C38" s="4"/>
      <c r="D38" s="7">
        <v>45382</v>
      </c>
      <c r="E38" s="5">
        <v>140550</v>
      </c>
      <c r="F38" s="5">
        <f>ROUND(F37+E38,5)</f>
        <v>140550</v>
      </c>
    </row>
    <row r="39" spans="1:6" ht="15.75" hidden="1" thickBot="1" x14ac:dyDescent="0.3">
      <c r="A39" s="4"/>
      <c r="B39" s="4" t="s">
        <v>170</v>
      </c>
      <c r="C39" s="4"/>
      <c r="D39" s="7">
        <v>45426</v>
      </c>
      <c r="E39" s="8">
        <v>-140550</v>
      </c>
      <c r="F39" s="8">
        <f>ROUND(F38+E39,5)</f>
        <v>0</v>
      </c>
    </row>
    <row r="40" spans="1:6" hidden="1" x14ac:dyDescent="0.25">
      <c r="A40" s="4"/>
      <c r="B40" s="4" t="s">
        <v>25</v>
      </c>
      <c r="C40" s="4"/>
      <c r="D40" s="7"/>
      <c r="E40" s="5">
        <f>ROUND(SUM(E37:E39),5)</f>
        <v>0</v>
      </c>
      <c r="F40" s="5">
        <f>F39</f>
        <v>0</v>
      </c>
    </row>
    <row r="41" spans="1:6" hidden="1" x14ac:dyDescent="0.25">
      <c r="A41" s="2"/>
      <c r="B41" s="2" t="s">
        <v>26</v>
      </c>
      <c r="C41" s="2"/>
      <c r="D41" s="6"/>
      <c r="E41" s="3"/>
      <c r="F41" s="3">
        <v>0</v>
      </c>
    </row>
    <row r="42" spans="1:6" hidden="1" x14ac:dyDescent="0.25">
      <c r="A42" s="4"/>
      <c r="B42" s="4" t="s">
        <v>171</v>
      </c>
      <c r="C42" s="4"/>
      <c r="D42" s="7">
        <v>45382</v>
      </c>
      <c r="E42" s="5">
        <v>56200</v>
      </c>
      <c r="F42" s="5">
        <f>ROUND(F41+E42,5)</f>
        <v>56200</v>
      </c>
    </row>
    <row r="43" spans="1:6" ht="15.75" hidden="1" thickBot="1" x14ac:dyDescent="0.3">
      <c r="A43" s="4"/>
      <c r="B43" s="4" t="s">
        <v>170</v>
      </c>
      <c r="C43" s="4"/>
      <c r="D43" s="7">
        <v>45426</v>
      </c>
      <c r="E43" s="8">
        <v>-56200</v>
      </c>
      <c r="F43" s="8">
        <f>ROUND(F42+E43,5)</f>
        <v>0</v>
      </c>
    </row>
    <row r="44" spans="1:6" hidden="1" x14ac:dyDescent="0.25">
      <c r="A44" s="4"/>
      <c r="B44" s="4" t="s">
        <v>27</v>
      </c>
      <c r="C44" s="4"/>
      <c r="D44" s="7"/>
      <c r="E44" s="5">
        <f>ROUND(SUM(E41:E43),5)</f>
        <v>0</v>
      </c>
      <c r="F44" s="5">
        <f>F43</f>
        <v>0</v>
      </c>
    </row>
    <row r="45" spans="1:6" hidden="1" x14ac:dyDescent="0.25">
      <c r="A45" s="2"/>
      <c r="B45" s="2" t="s">
        <v>28</v>
      </c>
      <c r="C45" s="2"/>
      <c r="D45" s="6"/>
      <c r="E45" s="3"/>
      <c r="F45" s="3">
        <v>0</v>
      </c>
    </row>
    <row r="46" spans="1:6" hidden="1" x14ac:dyDescent="0.25">
      <c r="A46" s="4"/>
      <c r="B46" s="4" t="s">
        <v>171</v>
      </c>
      <c r="C46" s="4"/>
      <c r="D46" s="7">
        <v>45382</v>
      </c>
      <c r="E46" s="5">
        <v>48800</v>
      </c>
      <c r="F46" s="5">
        <f>ROUND(F45+E46,5)</f>
        <v>48800</v>
      </c>
    </row>
    <row r="47" spans="1:6" ht="15.75" hidden="1" thickBot="1" x14ac:dyDescent="0.3">
      <c r="A47" s="4"/>
      <c r="B47" s="4" t="s">
        <v>170</v>
      </c>
      <c r="C47" s="4"/>
      <c r="D47" s="7">
        <v>45426</v>
      </c>
      <c r="E47" s="8">
        <v>-48800</v>
      </c>
      <c r="F47" s="8">
        <f>ROUND(F46+E47,5)</f>
        <v>0</v>
      </c>
    </row>
    <row r="48" spans="1:6" hidden="1" x14ac:dyDescent="0.25">
      <c r="A48" s="4"/>
      <c r="B48" s="4" t="s">
        <v>29</v>
      </c>
      <c r="C48" s="4"/>
      <c r="D48" s="7"/>
      <c r="E48" s="5">
        <f>ROUND(SUM(E45:E47),5)</f>
        <v>0</v>
      </c>
      <c r="F48" s="5">
        <f>F47</f>
        <v>0</v>
      </c>
    </row>
    <row r="49" spans="1:6" hidden="1" x14ac:dyDescent="0.25">
      <c r="A49" s="2"/>
      <c r="B49" s="2" t="s">
        <v>30</v>
      </c>
      <c r="C49" s="2"/>
      <c r="D49" s="6"/>
      <c r="E49" s="3"/>
      <c r="F49" s="3">
        <v>0</v>
      </c>
    </row>
    <row r="50" spans="1:6" hidden="1" x14ac:dyDescent="0.25">
      <c r="A50" s="4"/>
      <c r="B50" s="4" t="s">
        <v>171</v>
      </c>
      <c r="C50" s="4"/>
      <c r="D50" s="7">
        <v>45382</v>
      </c>
      <c r="E50" s="5">
        <v>48950</v>
      </c>
      <c r="F50" s="5">
        <f>ROUND(F49+E50,5)</f>
        <v>48950</v>
      </c>
    </row>
    <row r="51" spans="1:6" ht="15.75" hidden="1" thickBot="1" x14ac:dyDescent="0.3">
      <c r="A51" s="4"/>
      <c r="B51" s="4" t="s">
        <v>170</v>
      </c>
      <c r="C51" s="4"/>
      <c r="D51" s="7">
        <v>45426</v>
      </c>
      <c r="E51" s="8">
        <v>-48950</v>
      </c>
      <c r="F51" s="8">
        <f>ROUND(F50+E51,5)</f>
        <v>0</v>
      </c>
    </row>
    <row r="52" spans="1:6" hidden="1" x14ac:dyDescent="0.25">
      <c r="A52" s="4"/>
      <c r="B52" s="4" t="s">
        <v>31</v>
      </c>
      <c r="C52" s="4"/>
      <c r="D52" s="7"/>
      <c r="E52" s="5">
        <f>ROUND(SUM(E49:E51),5)</f>
        <v>0</v>
      </c>
      <c r="F52" s="5">
        <f>F51</f>
        <v>0</v>
      </c>
    </row>
    <row r="53" spans="1:6" hidden="1" x14ac:dyDescent="0.25">
      <c r="A53" s="2"/>
      <c r="B53" s="2" t="s">
        <v>32</v>
      </c>
      <c r="C53" s="2"/>
      <c r="D53" s="6"/>
      <c r="E53" s="3"/>
      <c r="F53" s="3">
        <v>0</v>
      </c>
    </row>
    <row r="54" spans="1:6" hidden="1" x14ac:dyDescent="0.25">
      <c r="A54" s="4"/>
      <c r="B54" s="4" t="s">
        <v>171</v>
      </c>
      <c r="C54" s="4"/>
      <c r="D54" s="7">
        <v>45382</v>
      </c>
      <c r="E54" s="5">
        <v>48300</v>
      </c>
      <c r="F54" s="5">
        <f>ROUND(F53+E54,5)</f>
        <v>48300</v>
      </c>
    </row>
    <row r="55" spans="1:6" ht="15.75" hidden="1" thickBot="1" x14ac:dyDescent="0.3">
      <c r="A55" s="4"/>
      <c r="B55" s="4" t="s">
        <v>170</v>
      </c>
      <c r="C55" s="4"/>
      <c r="D55" s="7">
        <v>45426</v>
      </c>
      <c r="E55" s="8">
        <v>-48300</v>
      </c>
      <c r="F55" s="8">
        <f>ROUND(F54+E55,5)</f>
        <v>0</v>
      </c>
    </row>
    <row r="56" spans="1:6" hidden="1" x14ac:dyDescent="0.25">
      <c r="A56" s="4"/>
      <c r="B56" s="4" t="s">
        <v>33</v>
      </c>
      <c r="C56" s="4"/>
      <c r="D56" s="7"/>
      <c r="E56" s="5">
        <f>ROUND(SUM(E53:E55),5)</f>
        <v>0</v>
      </c>
      <c r="F56" s="5">
        <f>F55</f>
        <v>0</v>
      </c>
    </row>
    <row r="57" spans="1:6" hidden="1" x14ac:dyDescent="0.25">
      <c r="A57" s="2"/>
      <c r="B57" s="2" t="s">
        <v>34</v>
      </c>
      <c r="C57" s="2"/>
      <c r="D57" s="6"/>
      <c r="E57" s="3"/>
      <c r="F57" s="3">
        <v>0</v>
      </c>
    </row>
    <row r="58" spans="1:6" hidden="1" x14ac:dyDescent="0.25">
      <c r="A58" s="4"/>
      <c r="B58" s="4" t="s">
        <v>171</v>
      </c>
      <c r="C58" s="4"/>
      <c r="D58" s="7">
        <v>45382</v>
      </c>
      <c r="E58" s="5">
        <v>1350</v>
      </c>
      <c r="F58" s="5">
        <f>ROUND(F57+E58,5)</f>
        <v>1350</v>
      </c>
    </row>
    <row r="59" spans="1:6" ht="15.75" hidden="1" thickBot="1" x14ac:dyDescent="0.3">
      <c r="A59" s="4"/>
      <c r="B59" s="4" t="s">
        <v>170</v>
      </c>
      <c r="C59" s="4"/>
      <c r="D59" s="7">
        <v>45426</v>
      </c>
      <c r="E59" s="8">
        <v>-1350</v>
      </c>
      <c r="F59" s="8">
        <f>ROUND(F58+E59,5)</f>
        <v>0</v>
      </c>
    </row>
    <row r="60" spans="1:6" hidden="1" x14ac:dyDescent="0.25">
      <c r="A60" s="4"/>
      <c r="B60" s="4" t="s">
        <v>35</v>
      </c>
      <c r="C60" s="4"/>
      <c r="D60" s="7"/>
      <c r="E60" s="5">
        <f>ROUND(SUM(E57:E59),5)</f>
        <v>0</v>
      </c>
      <c r="F60" s="5">
        <f>F59</f>
        <v>0</v>
      </c>
    </row>
    <row r="61" spans="1:6" hidden="1" x14ac:dyDescent="0.25">
      <c r="A61" s="2"/>
      <c r="B61" s="2" t="s">
        <v>36</v>
      </c>
      <c r="C61" s="2"/>
      <c r="D61" s="6"/>
      <c r="E61" s="3"/>
      <c r="F61" s="3">
        <v>0</v>
      </c>
    </row>
    <row r="62" spans="1:6" hidden="1" x14ac:dyDescent="0.25">
      <c r="A62" s="4"/>
      <c r="B62" s="4" t="s">
        <v>171</v>
      </c>
      <c r="C62" s="4"/>
      <c r="D62" s="7">
        <v>45382</v>
      </c>
      <c r="E62" s="5">
        <v>19100</v>
      </c>
      <c r="F62" s="5">
        <f>ROUND(F61+E62,5)</f>
        <v>19100</v>
      </c>
    </row>
    <row r="63" spans="1:6" ht="15.75" hidden="1" thickBot="1" x14ac:dyDescent="0.3">
      <c r="A63" s="4"/>
      <c r="B63" s="4" t="s">
        <v>170</v>
      </c>
      <c r="C63" s="4"/>
      <c r="D63" s="7">
        <v>45426</v>
      </c>
      <c r="E63" s="8">
        <v>-19100</v>
      </c>
      <c r="F63" s="8">
        <f>ROUND(F62+E63,5)</f>
        <v>0</v>
      </c>
    </row>
    <row r="64" spans="1:6" hidden="1" x14ac:dyDescent="0.25">
      <c r="A64" s="4"/>
      <c r="B64" s="4" t="s">
        <v>37</v>
      </c>
      <c r="C64" s="4"/>
      <c r="D64" s="7"/>
      <c r="E64" s="5">
        <f>ROUND(SUM(E61:E63),5)</f>
        <v>0</v>
      </c>
      <c r="F64" s="5">
        <f>F63</f>
        <v>0</v>
      </c>
    </row>
    <row r="65" spans="1:6" hidden="1" x14ac:dyDescent="0.25">
      <c r="A65" s="2"/>
      <c r="B65" s="2" t="s">
        <v>38</v>
      </c>
      <c r="C65" s="2"/>
      <c r="D65" s="6"/>
      <c r="E65" s="3"/>
      <c r="F65" s="3">
        <v>0</v>
      </c>
    </row>
    <row r="66" spans="1:6" hidden="1" x14ac:dyDescent="0.25">
      <c r="A66" s="4"/>
      <c r="B66" s="4" t="s">
        <v>171</v>
      </c>
      <c r="C66" s="4"/>
      <c r="D66" s="7">
        <v>45382</v>
      </c>
      <c r="E66" s="5">
        <v>9000</v>
      </c>
      <c r="F66" s="5">
        <f>ROUND(F65+E66,5)</f>
        <v>9000</v>
      </c>
    </row>
    <row r="67" spans="1:6" ht="15.75" hidden="1" thickBot="1" x14ac:dyDescent="0.3">
      <c r="A67" s="4"/>
      <c r="B67" s="4" t="s">
        <v>170</v>
      </c>
      <c r="C67" s="4"/>
      <c r="D67" s="7">
        <v>45426</v>
      </c>
      <c r="E67" s="8">
        <v>-9000</v>
      </c>
      <c r="F67" s="8">
        <f>ROUND(F66+E67,5)</f>
        <v>0</v>
      </c>
    </row>
    <row r="68" spans="1:6" hidden="1" x14ac:dyDescent="0.25">
      <c r="A68" s="4"/>
      <c r="B68" s="4" t="s">
        <v>39</v>
      </c>
      <c r="C68" s="4"/>
      <c r="D68" s="7"/>
      <c r="E68" s="5">
        <f>ROUND(SUM(E65:E67),5)</f>
        <v>0</v>
      </c>
      <c r="F68" s="5">
        <f>F67</f>
        <v>0</v>
      </c>
    </row>
    <row r="69" spans="1:6" hidden="1" x14ac:dyDescent="0.25">
      <c r="A69" s="2"/>
      <c r="B69" s="2" t="s">
        <v>40</v>
      </c>
      <c r="C69" s="2"/>
      <c r="D69" s="6"/>
      <c r="E69" s="3"/>
      <c r="F69" s="3">
        <v>0</v>
      </c>
    </row>
    <row r="70" spans="1:6" hidden="1" x14ac:dyDescent="0.25">
      <c r="A70" s="4"/>
      <c r="B70" s="4" t="s">
        <v>171</v>
      </c>
      <c r="C70" s="4"/>
      <c r="D70" s="7">
        <v>45382</v>
      </c>
      <c r="E70" s="5">
        <v>61650</v>
      </c>
      <c r="F70" s="5">
        <f>ROUND(F69+E70,5)</f>
        <v>61650</v>
      </c>
    </row>
    <row r="71" spans="1:6" ht="15.75" hidden="1" thickBot="1" x14ac:dyDescent="0.3">
      <c r="A71" s="4"/>
      <c r="B71" s="4" t="s">
        <v>170</v>
      </c>
      <c r="C71" s="4"/>
      <c r="D71" s="7">
        <v>45426</v>
      </c>
      <c r="E71" s="8">
        <v>-61650</v>
      </c>
      <c r="F71" s="8">
        <f>ROUND(F70+E71,5)</f>
        <v>0</v>
      </c>
    </row>
    <row r="72" spans="1:6" hidden="1" x14ac:dyDescent="0.25">
      <c r="A72" s="4"/>
      <c r="B72" s="4" t="s">
        <v>41</v>
      </c>
      <c r="C72" s="4"/>
      <c r="D72" s="7"/>
      <c r="E72" s="5">
        <f>ROUND(SUM(E69:E71),5)</f>
        <v>0</v>
      </c>
      <c r="F72" s="5">
        <f>F71</f>
        <v>0</v>
      </c>
    </row>
    <row r="73" spans="1:6" hidden="1" x14ac:dyDescent="0.25">
      <c r="A73" s="2"/>
      <c r="B73" s="2" t="s">
        <v>42</v>
      </c>
      <c r="C73" s="2"/>
      <c r="D73" s="6"/>
      <c r="E73" s="3"/>
      <c r="F73" s="3">
        <v>0</v>
      </c>
    </row>
    <row r="74" spans="1:6" hidden="1" x14ac:dyDescent="0.25">
      <c r="A74" s="4"/>
      <c r="B74" s="4" t="s">
        <v>171</v>
      </c>
      <c r="C74" s="4"/>
      <c r="D74" s="7">
        <v>45351</v>
      </c>
      <c r="E74" s="5">
        <v>204100</v>
      </c>
      <c r="F74" s="5">
        <f>ROUND(F73+E74,5)</f>
        <v>204100</v>
      </c>
    </row>
    <row r="75" spans="1:6" ht="15.75" hidden="1" thickBot="1" x14ac:dyDescent="0.3">
      <c r="A75" s="4"/>
      <c r="B75" s="4" t="s">
        <v>170</v>
      </c>
      <c r="C75" s="4"/>
      <c r="D75" s="7">
        <v>45435</v>
      </c>
      <c r="E75" s="8">
        <v>-204100</v>
      </c>
      <c r="F75" s="8">
        <f>ROUND(F74+E75,5)</f>
        <v>0</v>
      </c>
    </row>
    <row r="76" spans="1:6" hidden="1" x14ac:dyDescent="0.25">
      <c r="A76" s="4"/>
      <c r="B76" s="4" t="s">
        <v>43</v>
      </c>
      <c r="C76" s="4"/>
      <c r="D76" s="7"/>
      <c r="E76" s="5">
        <f>ROUND(SUM(E73:E75),5)</f>
        <v>0</v>
      </c>
      <c r="F76" s="5">
        <f>F75</f>
        <v>0</v>
      </c>
    </row>
    <row r="77" spans="1:6" hidden="1" x14ac:dyDescent="0.25">
      <c r="A77" s="2"/>
      <c r="B77" s="2" t="s">
        <v>44</v>
      </c>
      <c r="C77" s="2"/>
      <c r="D77" s="6"/>
      <c r="E77" s="3"/>
      <c r="F77" s="3">
        <v>371510</v>
      </c>
    </row>
    <row r="78" spans="1:6" hidden="1" x14ac:dyDescent="0.25">
      <c r="A78" s="4"/>
      <c r="B78" s="4" t="s">
        <v>45</v>
      </c>
      <c r="C78" s="4"/>
      <c r="D78" s="7"/>
      <c r="E78" s="5"/>
      <c r="F78" s="5">
        <f>F77</f>
        <v>371510</v>
      </c>
    </row>
    <row r="79" spans="1:6" hidden="1" x14ac:dyDescent="0.25">
      <c r="A79" s="2"/>
      <c r="B79" s="2" t="s">
        <v>46</v>
      </c>
      <c r="C79" s="2"/>
      <c r="D79" s="6"/>
      <c r="E79" s="3"/>
      <c r="F79" s="3">
        <v>525050</v>
      </c>
    </row>
    <row r="80" spans="1:6" hidden="1" x14ac:dyDescent="0.25">
      <c r="A80" s="4"/>
      <c r="B80" s="4" t="s">
        <v>171</v>
      </c>
      <c r="C80" s="4"/>
      <c r="D80" s="7">
        <v>45322</v>
      </c>
      <c r="E80" s="5">
        <v>194000</v>
      </c>
      <c r="F80" s="5">
        <f t="shared" ref="F80:F88" si="0">ROUND(F79+E80,5)</f>
        <v>719050</v>
      </c>
    </row>
    <row r="81" spans="1:6" hidden="1" x14ac:dyDescent="0.25">
      <c r="A81" s="4"/>
      <c r="B81" s="4" t="s">
        <v>171</v>
      </c>
      <c r="C81" s="4"/>
      <c r="D81" s="7">
        <v>45322</v>
      </c>
      <c r="E81" s="5">
        <v>27000</v>
      </c>
      <c r="F81" s="5">
        <f t="shared" si="0"/>
        <v>746050</v>
      </c>
    </row>
    <row r="82" spans="1:6" hidden="1" x14ac:dyDescent="0.25">
      <c r="A82" s="4"/>
      <c r="B82" s="4" t="s">
        <v>170</v>
      </c>
      <c r="C82" s="4"/>
      <c r="D82" s="7">
        <v>45329</v>
      </c>
      <c r="E82" s="5">
        <v>-710050</v>
      </c>
      <c r="F82" s="5">
        <f t="shared" si="0"/>
        <v>36000</v>
      </c>
    </row>
    <row r="83" spans="1:6" hidden="1" x14ac:dyDescent="0.25">
      <c r="A83" s="4"/>
      <c r="B83" s="4" t="s">
        <v>171</v>
      </c>
      <c r="C83" s="4"/>
      <c r="D83" s="7">
        <v>45351</v>
      </c>
      <c r="E83" s="5">
        <v>358700</v>
      </c>
      <c r="F83" s="5">
        <f t="shared" si="0"/>
        <v>394700</v>
      </c>
    </row>
    <row r="84" spans="1:6" hidden="1" x14ac:dyDescent="0.25">
      <c r="A84" s="4"/>
      <c r="B84" s="4" t="s">
        <v>171</v>
      </c>
      <c r="C84" s="4"/>
      <c r="D84" s="7">
        <v>45351</v>
      </c>
      <c r="E84" s="5">
        <v>21000</v>
      </c>
      <c r="F84" s="5">
        <f t="shared" si="0"/>
        <v>415700</v>
      </c>
    </row>
    <row r="85" spans="1:6" hidden="1" x14ac:dyDescent="0.25">
      <c r="A85" s="4"/>
      <c r="B85" s="4" t="s">
        <v>171</v>
      </c>
      <c r="C85" s="4"/>
      <c r="D85" s="7">
        <v>45382</v>
      </c>
      <c r="E85" s="5">
        <v>233100</v>
      </c>
      <c r="F85" s="5">
        <f t="shared" si="0"/>
        <v>648800</v>
      </c>
    </row>
    <row r="86" spans="1:6" hidden="1" x14ac:dyDescent="0.25">
      <c r="A86" s="4"/>
      <c r="B86" s="4" t="s">
        <v>171</v>
      </c>
      <c r="C86" s="4"/>
      <c r="D86" s="7">
        <v>45382</v>
      </c>
      <c r="E86" s="5">
        <v>48000</v>
      </c>
      <c r="F86" s="5">
        <f t="shared" si="0"/>
        <v>696800</v>
      </c>
    </row>
    <row r="87" spans="1:6" hidden="1" x14ac:dyDescent="0.25">
      <c r="A87" s="4"/>
      <c r="B87" s="4" t="s">
        <v>170</v>
      </c>
      <c r="C87" s="4"/>
      <c r="D87" s="7">
        <v>45427</v>
      </c>
      <c r="E87" s="5">
        <v>-785800</v>
      </c>
      <c r="F87" s="5">
        <f t="shared" si="0"/>
        <v>-89000</v>
      </c>
    </row>
    <row r="88" spans="1:6" ht="15.75" hidden="1" thickBot="1" x14ac:dyDescent="0.3">
      <c r="A88" s="4"/>
      <c r="B88" s="4" t="s">
        <v>170</v>
      </c>
      <c r="C88" s="4"/>
      <c r="D88" s="7">
        <v>45427</v>
      </c>
      <c r="E88" s="8">
        <v>-48000</v>
      </c>
      <c r="F88" s="8">
        <f t="shared" si="0"/>
        <v>-137000</v>
      </c>
    </row>
    <row r="89" spans="1:6" hidden="1" x14ac:dyDescent="0.25">
      <c r="A89" s="4"/>
      <c r="B89" s="4" t="s">
        <v>47</v>
      </c>
      <c r="C89" s="4"/>
      <c r="D89" s="7"/>
      <c r="E89" s="5">
        <f>ROUND(SUM(E79:E88),5)</f>
        <v>-662050</v>
      </c>
      <c r="F89" s="5">
        <f>F88</f>
        <v>-137000</v>
      </c>
    </row>
    <row r="90" spans="1:6" hidden="1" x14ac:dyDescent="0.25">
      <c r="A90" s="2"/>
      <c r="B90" s="2" t="s">
        <v>48</v>
      </c>
      <c r="C90" s="2"/>
      <c r="D90" s="6"/>
      <c r="E90" s="3"/>
      <c r="F90" s="3">
        <v>0</v>
      </c>
    </row>
    <row r="91" spans="1:6" hidden="1" x14ac:dyDescent="0.25">
      <c r="A91" s="4"/>
      <c r="B91" s="4" t="s">
        <v>171</v>
      </c>
      <c r="C91" s="4"/>
      <c r="D91" s="7">
        <v>45351</v>
      </c>
      <c r="E91" s="5">
        <v>30050</v>
      </c>
      <c r="F91" s="5">
        <f>ROUND(F90+E91,5)</f>
        <v>30050</v>
      </c>
    </row>
    <row r="92" spans="1:6" hidden="1" x14ac:dyDescent="0.25">
      <c r="A92" s="4"/>
      <c r="B92" s="4" t="s">
        <v>171</v>
      </c>
      <c r="C92" s="4"/>
      <c r="D92" s="7">
        <v>45382</v>
      </c>
      <c r="E92" s="5">
        <v>38450</v>
      </c>
      <c r="F92" s="5">
        <f>ROUND(F91+E92,5)</f>
        <v>68500</v>
      </c>
    </row>
    <row r="93" spans="1:6" ht="15.75" hidden="1" thickBot="1" x14ac:dyDescent="0.3">
      <c r="A93" s="4"/>
      <c r="B93" s="4" t="s">
        <v>170</v>
      </c>
      <c r="C93" s="4"/>
      <c r="D93" s="7">
        <v>45417</v>
      </c>
      <c r="E93" s="8">
        <v>-68500</v>
      </c>
      <c r="F93" s="8">
        <f>ROUND(F92+E93,5)</f>
        <v>0</v>
      </c>
    </row>
    <row r="94" spans="1:6" hidden="1" x14ac:dyDescent="0.25">
      <c r="A94" s="4"/>
      <c r="B94" s="4" t="s">
        <v>49</v>
      </c>
      <c r="C94" s="4"/>
      <c r="D94" s="7"/>
      <c r="E94" s="5">
        <f>ROUND(SUM(E90:E93),5)</f>
        <v>0</v>
      </c>
      <c r="F94" s="5">
        <f>F93</f>
        <v>0</v>
      </c>
    </row>
    <row r="95" spans="1:6" hidden="1" x14ac:dyDescent="0.25">
      <c r="A95" s="2"/>
      <c r="B95" s="2" t="s">
        <v>50</v>
      </c>
      <c r="C95" s="2"/>
      <c r="D95" s="6"/>
      <c r="E95" s="3"/>
      <c r="F95" s="3">
        <v>101500</v>
      </c>
    </row>
    <row r="96" spans="1:6" hidden="1" x14ac:dyDescent="0.25">
      <c r="A96" s="4"/>
      <c r="B96" s="4" t="s">
        <v>51</v>
      </c>
      <c r="C96" s="4"/>
      <c r="D96" s="7"/>
      <c r="E96" s="5"/>
      <c r="F96" s="5">
        <f>F95</f>
        <v>101500</v>
      </c>
    </row>
    <row r="97" spans="1:6" hidden="1" x14ac:dyDescent="0.25">
      <c r="A97" s="2"/>
      <c r="B97" s="2" t="s">
        <v>52</v>
      </c>
      <c r="C97" s="2"/>
      <c r="D97" s="6"/>
      <c r="E97" s="3"/>
      <c r="F97" s="3">
        <v>1600000</v>
      </c>
    </row>
    <row r="98" spans="1:6" hidden="1" x14ac:dyDescent="0.25">
      <c r="A98" s="4"/>
      <c r="B98" s="4" t="s">
        <v>172</v>
      </c>
      <c r="C98" s="4"/>
      <c r="D98" s="7">
        <v>45320</v>
      </c>
      <c r="E98" s="5">
        <v>-200000</v>
      </c>
      <c r="F98" s="5">
        <f t="shared" ref="F98:F103" si="1">ROUND(F97+E98,5)</f>
        <v>1400000</v>
      </c>
    </row>
    <row r="99" spans="1:6" hidden="1" x14ac:dyDescent="0.25">
      <c r="A99" s="4"/>
      <c r="B99" s="4" t="s">
        <v>172</v>
      </c>
      <c r="C99" s="4"/>
      <c r="D99" s="7">
        <v>45351</v>
      </c>
      <c r="E99" s="5">
        <v>-200000</v>
      </c>
      <c r="F99" s="5">
        <f t="shared" si="1"/>
        <v>1200000</v>
      </c>
    </row>
    <row r="100" spans="1:6" hidden="1" x14ac:dyDescent="0.25">
      <c r="A100" s="4"/>
      <c r="B100" s="4" t="s">
        <v>172</v>
      </c>
      <c r="C100" s="4"/>
      <c r="D100" s="7">
        <v>45382</v>
      </c>
      <c r="E100" s="5">
        <v>-200000</v>
      </c>
      <c r="F100" s="5">
        <f t="shared" si="1"/>
        <v>1000000</v>
      </c>
    </row>
    <row r="101" spans="1:6" hidden="1" x14ac:dyDescent="0.25">
      <c r="A101" s="4"/>
      <c r="B101" s="4" t="s">
        <v>172</v>
      </c>
      <c r="C101" s="4"/>
      <c r="D101" s="7">
        <v>45412</v>
      </c>
      <c r="E101" s="5">
        <v>0</v>
      </c>
      <c r="F101" s="5">
        <f t="shared" si="1"/>
        <v>1000000</v>
      </c>
    </row>
    <row r="102" spans="1:6" hidden="1" x14ac:dyDescent="0.25">
      <c r="A102" s="4"/>
      <c r="B102" s="4" t="s">
        <v>172</v>
      </c>
      <c r="C102" s="4"/>
      <c r="D102" s="7">
        <v>45412</v>
      </c>
      <c r="E102" s="5">
        <v>-200000</v>
      </c>
      <c r="F102" s="5">
        <f t="shared" si="1"/>
        <v>800000</v>
      </c>
    </row>
    <row r="103" spans="1:6" ht="15.75" hidden="1" thickBot="1" x14ac:dyDescent="0.3">
      <c r="A103" s="4"/>
      <c r="B103" s="4" t="s">
        <v>172</v>
      </c>
      <c r="C103" s="4"/>
      <c r="D103" s="7">
        <v>45443</v>
      </c>
      <c r="E103" s="8">
        <v>-200000</v>
      </c>
      <c r="F103" s="8">
        <f t="shared" si="1"/>
        <v>600000</v>
      </c>
    </row>
    <row r="104" spans="1:6" hidden="1" x14ac:dyDescent="0.25">
      <c r="A104" s="4"/>
      <c r="B104" s="4" t="s">
        <v>53</v>
      </c>
      <c r="C104" s="4"/>
      <c r="D104" s="7"/>
      <c r="E104" s="5">
        <f>ROUND(SUM(E97:E103),5)</f>
        <v>-1000000</v>
      </c>
      <c r="F104" s="5">
        <f>F103</f>
        <v>600000</v>
      </c>
    </row>
    <row r="105" spans="1:6" hidden="1" x14ac:dyDescent="0.25">
      <c r="A105" s="2"/>
      <c r="B105" s="2" t="s">
        <v>54</v>
      </c>
      <c r="C105" s="2"/>
      <c r="D105" s="6"/>
      <c r="E105" s="3"/>
      <c r="F105" s="3">
        <v>800000</v>
      </c>
    </row>
    <row r="106" spans="1:6" hidden="1" x14ac:dyDescent="0.25">
      <c r="A106" s="4"/>
      <c r="B106" s="4" t="s">
        <v>55</v>
      </c>
      <c r="C106" s="4"/>
      <c r="D106" s="7"/>
      <c r="E106" s="5"/>
      <c r="F106" s="5">
        <f>F105</f>
        <v>800000</v>
      </c>
    </row>
    <row r="107" spans="1:6" x14ac:dyDescent="0.25">
      <c r="A107" s="2" t="s">
        <v>497</v>
      </c>
      <c r="B107" s="2" t="s">
        <v>56</v>
      </c>
      <c r="C107" s="2"/>
      <c r="D107" s="6"/>
      <c r="E107" s="3"/>
      <c r="F107" s="3">
        <v>0</v>
      </c>
    </row>
    <row r="108" spans="1:6" ht="15.75" thickBot="1" x14ac:dyDescent="0.3">
      <c r="A108" s="1" t="s">
        <v>497</v>
      </c>
      <c r="B108" s="4" t="s">
        <v>171</v>
      </c>
      <c r="C108" s="4"/>
      <c r="D108" s="7">
        <v>45306</v>
      </c>
      <c r="E108" s="8">
        <v>325000</v>
      </c>
      <c r="F108" s="8">
        <f>ROUND(F107+E108,5)</f>
        <v>325000</v>
      </c>
    </row>
    <row r="109" spans="1:6" x14ac:dyDescent="0.25">
      <c r="A109" s="2" t="s">
        <v>498</v>
      </c>
      <c r="B109" s="2" t="s">
        <v>57</v>
      </c>
      <c r="C109" s="2"/>
      <c r="D109" s="6"/>
      <c r="E109" s="3"/>
      <c r="F109" s="3">
        <v>5000</v>
      </c>
    </row>
    <row r="110" spans="1:6" x14ac:dyDescent="0.25">
      <c r="A110" s="2" t="s">
        <v>499</v>
      </c>
      <c r="B110" s="2" t="s">
        <v>58</v>
      </c>
      <c r="C110" s="2"/>
      <c r="D110" s="6"/>
      <c r="E110" s="3"/>
      <c r="F110" s="3">
        <v>0</v>
      </c>
    </row>
    <row r="111" spans="1:6" x14ac:dyDescent="0.25">
      <c r="A111" s="4" t="s">
        <v>499</v>
      </c>
      <c r="B111" s="4" t="s">
        <v>171</v>
      </c>
      <c r="C111" s="4"/>
      <c r="D111" s="7">
        <v>45306</v>
      </c>
      <c r="E111" s="5">
        <v>325000</v>
      </c>
      <c r="F111" s="5">
        <f>ROUND(F110+E111,5)</f>
        <v>325000</v>
      </c>
    </row>
    <row r="112" spans="1:6" ht="15.75" thickBot="1" x14ac:dyDescent="0.3">
      <c r="A112" s="4" t="s">
        <v>499</v>
      </c>
      <c r="B112" s="4" t="s">
        <v>170</v>
      </c>
      <c r="C112" s="4"/>
      <c r="D112" s="7">
        <v>45344</v>
      </c>
      <c r="E112" s="8">
        <v>-250000</v>
      </c>
      <c r="F112" s="8">
        <f>ROUND(F111+E112,5)</f>
        <v>75000</v>
      </c>
    </row>
    <row r="113" spans="1:6" x14ac:dyDescent="0.25">
      <c r="A113" s="2" t="s">
        <v>500</v>
      </c>
      <c r="B113" s="2" t="s">
        <v>59</v>
      </c>
      <c r="C113" s="2"/>
      <c r="D113" s="6"/>
      <c r="E113" s="3"/>
      <c r="F113" s="3">
        <v>100000</v>
      </c>
    </row>
    <row r="114" spans="1:6" x14ac:dyDescent="0.25">
      <c r="A114" s="4" t="s">
        <v>500</v>
      </c>
      <c r="B114" s="4" t="s">
        <v>171</v>
      </c>
      <c r="C114" s="4"/>
      <c r="D114" s="7">
        <v>45322</v>
      </c>
      <c r="E114" s="5">
        <v>400000</v>
      </c>
      <c r="F114" s="5">
        <f>ROUND(F113+E114,5)</f>
        <v>500000</v>
      </c>
    </row>
    <row r="115" spans="1:6" x14ac:dyDescent="0.25">
      <c r="A115" s="4" t="s">
        <v>500</v>
      </c>
      <c r="B115" s="4" t="s">
        <v>173</v>
      </c>
      <c r="C115" s="4"/>
      <c r="D115" s="7">
        <v>45383</v>
      </c>
      <c r="E115" s="5">
        <v>-100000</v>
      </c>
      <c r="F115" s="5">
        <f>ROUND(F114+E115,5)</f>
        <v>400000</v>
      </c>
    </row>
    <row r="116" spans="1:6" ht="15.75" thickBot="1" x14ac:dyDescent="0.3">
      <c r="A116" s="4" t="s">
        <v>500</v>
      </c>
      <c r="B116" s="4" t="s">
        <v>170</v>
      </c>
      <c r="C116" s="4"/>
      <c r="D116" s="7">
        <v>45408</v>
      </c>
      <c r="E116" s="8">
        <v>-150000</v>
      </c>
      <c r="F116" s="8">
        <f>ROUND(F115+E116,5)</f>
        <v>250000</v>
      </c>
    </row>
    <row r="117" spans="1:6" x14ac:dyDescent="0.25">
      <c r="A117" s="2" t="s">
        <v>501</v>
      </c>
      <c r="B117" s="2" t="s">
        <v>60</v>
      </c>
      <c r="C117" s="2"/>
      <c r="D117" s="6"/>
      <c r="E117" s="3"/>
      <c r="F117" s="3">
        <v>0</v>
      </c>
    </row>
    <row r="118" spans="1:6" x14ac:dyDescent="0.25">
      <c r="A118" s="4" t="s">
        <v>501</v>
      </c>
      <c r="B118" s="4" t="s">
        <v>171</v>
      </c>
      <c r="C118" s="4"/>
      <c r="D118" s="7">
        <v>45306</v>
      </c>
      <c r="E118" s="5">
        <v>300000</v>
      </c>
      <c r="F118" s="5">
        <f>ROUND(F117+E118,5)</f>
        <v>300000</v>
      </c>
    </row>
    <row r="119" spans="1:6" x14ac:dyDescent="0.25">
      <c r="A119" s="4" t="s">
        <v>501</v>
      </c>
      <c r="B119" s="4" t="s">
        <v>170</v>
      </c>
      <c r="C119" s="4"/>
      <c r="D119" s="7">
        <v>45370</v>
      </c>
      <c r="E119" s="5">
        <v>-200000</v>
      </c>
      <c r="F119" s="5">
        <f>ROUND(F118+E119,5)</f>
        <v>100000</v>
      </c>
    </row>
    <row r="120" spans="1:6" ht="15.75" thickBot="1" x14ac:dyDescent="0.3">
      <c r="A120" s="4" t="s">
        <v>501</v>
      </c>
      <c r="B120" s="4" t="s">
        <v>170</v>
      </c>
      <c r="C120" s="4"/>
      <c r="D120" s="7">
        <v>45391</v>
      </c>
      <c r="E120" s="8">
        <v>-100000</v>
      </c>
      <c r="F120" s="8">
        <f>ROUND(F119+E120,5)</f>
        <v>0</v>
      </c>
    </row>
    <row r="121" spans="1:6" x14ac:dyDescent="0.25">
      <c r="A121" s="2" t="s">
        <v>502</v>
      </c>
      <c r="B121" s="2" t="s">
        <v>61</v>
      </c>
      <c r="C121" s="2"/>
      <c r="D121" s="6"/>
      <c r="E121" s="3"/>
      <c r="F121" s="3">
        <v>0</v>
      </c>
    </row>
    <row r="122" spans="1:6" x14ac:dyDescent="0.25">
      <c r="A122" s="4" t="s">
        <v>502</v>
      </c>
      <c r="B122" s="4" t="s">
        <v>171</v>
      </c>
      <c r="C122" s="4"/>
      <c r="D122" s="7">
        <v>45306</v>
      </c>
      <c r="E122" s="5">
        <v>425000</v>
      </c>
      <c r="F122" s="5">
        <f>ROUND(F121+E122,5)</f>
        <v>425000</v>
      </c>
    </row>
    <row r="123" spans="1:6" x14ac:dyDescent="0.25">
      <c r="A123" s="4" t="s">
        <v>502</v>
      </c>
      <c r="B123" s="4" t="s">
        <v>170</v>
      </c>
      <c r="C123" s="4"/>
      <c r="D123" s="7">
        <v>45370</v>
      </c>
      <c r="E123" s="5">
        <v>-300000</v>
      </c>
      <c r="F123" s="5">
        <f>ROUND(F122+E123,5)</f>
        <v>125000</v>
      </c>
    </row>
    <row r="124" spans="1:6" ht="15.75" thickBot="1" x14ac:dyDescent="0.3">
      <c r="A124" s="4" t="s">
        <v>502</v>
      </c>
      <c r="B124" s="4" t="s">
        <v>170</v>
      </c>
      <c r="C124" s="4"/>
      <c r="D124" s="7">
        <v>45391</v>
      </c>
      <c r="E124" s="8">
        <v>-100000</v>
      </c>
      <c r="F124" s="8">
        <f>ROUND(F123+E124,5)</f>
        <v>25000</v>
      </c>
    </row>
    <row r="125" spans="1:6" x14ac:dyDescent="0.25">
      <c r="A125" s="2" t="s">
        <v>503</v>
      </c>
      <c r="B125" s="2" t="s">
        <v>62</v>
      </c>
      <c r="C125" s="2"/>
      <c r="D125" s="6"/>
      <c r="E125" s="3"/>
      <c r="F125" s="3">
        <v>0</v>
      </c>
    </row>
    <row r="126" spans="1:6" x14ac:dyDescent="0.25">
      <c r="A126" s="4" t="s">
        <v>503</v>
      </c>
      <c r="B126" s="4" t="s">
        <v>171</v>
      </c>
      <c r="C126" s="4"/>
      <c r="D126" s="7">
        <v>45337</v>
      </c>
      <c r="E126" s="5">
        <v>65000</v>
      </c>
      <c r="F126" s="5">
        <f>ROUND(F125+E126,5)</f>
        <v>65000</v>
      </c>
    </row>
    <row r="127" spans="1:6" ht="15.75" thickBot="1" x14ac:dyDescent="0.3">
      <c r="A127" s="4" t="s">
        <v>503</v>
      </c>
      <c r="B127" s="4" t="s">
        <v>170</v>
      </c>
      <c r="C127" s="4"/>
      <c r="D127" s="7">
        <v>45355</v>
      </c>
      <c r="E127" s="8">
        <v>-65000</v>
      </c>
      <c r="F127" s="8">
        <f>ROUND(F126+E127,5)</f>
        <v>0</v>
      </c>
    </row>
    <row r="128" spans="1:6" x14ac:dyDescent="0.25">
      <c r="A128" s="2" t="s">
        <v>504</v>
      </c>
      <c r="B128" s="2" t="s">
        <v>63</v>
      </c>
      <c r="C128" s="2"/>
      <c r="D128" s="6"/>
      <c r="E128" s="3"/>
      <c r="F128" s="3">
        <v>0</v>
      </c>
    </row>
    <row r="129" spans="1:6" ht="15.75" thickBot="1" x14ac:dyDescent="0.3">
      <c r="A129" s="1" t="s">
        <v>504</v>
      </c>
      <c r="B129" s="4" t="s">
        <v>171</v>
      </c>
      <c r="C129" s="4"/>
      <c r="D129" s="7">
        <v>45383</v>
      </c>
      <c r="E129" s="8">
        <v>30000</v>
      </c>
      <c r="F129" s="8">
        <f>ROUND(F128+E129,5)</f>
        <v>30000</v>
      </c>
    </row>
    <row r="130" spans="1:6" x14ac:dyDescent="0.25">
      <c r="A130" s="2" t="s">
        <v>505</v>
      </c>
      <c r="B130" s="2" t="s">
        <v>64</v>
      </c>
      <c r="C130" s="2"/>
      <c r="D130" s="6"/>
      <c r="E130" s="3"/>
      <c r="F130" s="3">
        <v>4000</v>
      </c>
    </row>
    <row r="131" spans="1:6" x14ac:dyDescent="0.25">
      <c r="A131" s="2" t="s">
        <v>506</v>
      </c>
      <c r="B131" s="2" t="s">
        <v>65</v>
      </c>
      <c r="C131" s="2"/>
      <c r="D131" s="6"/>
      <c r="E131" s="3"/>
      <c r="F131" s="3">
        <v>0</v>
      </c>
    </row>
    <row r="132" spans="1:6" x14ac:dyDescent="0.25">
      <c r="A132" s="2" t="s">
        <v>507</v>
      </c>
      <c r="B132" s="2" t="s">
        <v>66</v>
      </c>
      <c r="C132" s="2"/>
      <c r="D132" s="6"/>
      <c r="E132" s="3"/>
      <c r="F132" s="3">
        <v>200000</v>
      </c>
    </row>
    <row r="133" spans="1:6" x14ac:dyDescent="0.25">
      <c r="A133" s="4" t="s">
        <v>507</v>
      </c>
      <c r="B133" s="4" t="s">
        <v>171</v>
      </c>
      <c r="C133" s="4"/>
      <c r="D133" s="7">
        <v>45322</v>
      </c>
      <c r="E133" s="5">
        <v>300000</v>
      </c>
      <c r="F133" s="5">
        <f>ROUND(F132+E133,5)</f>
        <v>500000</v>
      </c>
    </row>
    <row r="134" spans="1:6" ht="15.75" thickBot="1" x14ac:dyDescent="0.3">
      <c r="A134" s="4" t="s">
        <v>507</v>
      </c>
      <c r="B134" s="4" t="s">
        <v>170</v>
      </c>
      <c r="C134" s="4"/>
      <c r="D134" s="7">
        <v>45378</v>
      </c>
      <c r="E134" s="8">
        <v>-50000</v>
      </c>
      <c r="F134" s="8">
        <f>ROUND(F133+E134,5)</f>
        <v>450000</v>
      </c>
    </row>
    <row r="135" spans="1:6" x14ac:dyDescent="0.25">
      <c r="A135" s="2" t="s">
        <v>508</v>
      </c>
      <c r="B135" s="2" t="s">
        <v>67</v>
      </c>
      <c r="C135" s="2"/>
      <c r="D135" s="6"/>
      <c r="E135" s="3"/>
      <c r="F135" s="3">
        <v>-1600</v>
      </c>
    </row>
    <row r="136" spans="1:6" x14ac:dyDescent="0.25">
      <c r="A136" s="2" t="s">
        <v>509</v>
      </c>
      <c r="B136" s="2" t="s">
        <v>68</v>
      </c>
      <c r="C136" s="2"/>
      <c r="D136" s="6"/>
      <c r="E136" s="3"/>
      <c r="F136" s="3">
        <v>149518</v>
      </c>
    </row>
    <row r="137" spans="1:6" x14ac:dyDescent="0.25">
      <c r="A137" s="4" t="s">
        <v>509</v>
      </c>
      <c r="B137" s="4" t="s">
        <v>171</v>
      </c>
      <c r="C137" s="4"/>
      <c r="D137" s="7">
        <v>45306</v>
      </c>
      <c r="E137" s="5">
        <v>300000</v>
      </c>
      <c r="F137" s="5">
        <f>ROUND(F136+E137,5)</f>
        <v>449518</v>
      </c>
    </row>
    <row r="138" spans="1:6" x14ac:dyDescent="0.25">
      <c r="A138" s="4" t="s">
        <v>509</v>
      </c>
      <c r="B138" s="4" t="s">
        <v>170</v>
      </c>
      <c r="C138" s="4"/>
      <c r="D138" s="7">
        <v>45329</v>
      </c>
      <c r="E138" s="5">
        <v>-150000</v>
      </c>
      <c r="F138" s="5">
        <f>ROUND(F137+E138,5)</f>
        <v>299518</v>
      </c>
    </row>
    <row r="139" spans="1:6" ht="15.75" thickBot="1" x14ac:dyDescent="0.3">
      <c r="A139" s="4" t="s">
        <v>509</v>
      </c>
      <c r="B139" s="4" t="s">
        <v>170</v>
      </c>
      <c r="C139" s="4"/>
      <c r="D139" s="7">
        <v>45383</v>
      </c>
      <c r="E139" s="8">
        <v>-150000</v>
      </c>
      <c r="F139" s="8">
        <f>ROUND(F138+E139,5)</f>
        <v>149518</v>
      </c>
    </row>
    <row r="140" spans="1:6" x14ac:dyDescent="0.25">
      <c r="A140" s="2" t="s">
        <v>510</v>
      </c>
      <c r="B140" s="2" t="s">
        <v>69</v>
      </c>
      <c r="C140" s="2"/>
      <c r="D140" s="6"/>
      <c r="E140" s="3"/>
      <c r="F140" s="3">
        <v>0</v>
      </c>
    </row>
    <row r="141" spans="1:6" x14ac:dyDescent="0.25">
      <c r="A141" s="4" t="s">
        <v>510</v>
      </c>
      <c r="B141" s="4" t="s">
        <v>170</v>
      </c>
      <c r="C141" s="4"/>
      <c r="D141" s="7">
        <v>45300</v>
      </c>
      <c r="E141" s="5">
        <v>-25000</v>
      </c>
      <c r="F141" s="5">
        <f>ROUND(F140+E141,5)</f>
        <v>-25000</v>
      </c>
    </row>
    <row r="142" spans="1:6" x14ac:dyDescent="0.25">
      <c r="A142" s="4" t="s">
        <v>510</v>
      </c>
      <c r="B142" s="4" t="s">
        <v>171</v>
      </c>
      <c r="C142" s="4"/>
      <c r="D142" s="7">
        <v>45306</v>
      </c>
      <c r="E142" s="5">
        <v>425000</v>
      </c>
      <c r="F142" s="5">
        <f>ROUND(F141+E142,5)</f>
        <v>400000</v>
      </c>
    </row>
    <row r="143" spans="1:6" ht="15.75" thickBot="1" x14ac:dyDescent="0.3">
      <c r="A143" s="4" t="s">
        <v>510</v>
      </c>
      <c r="B143" s="4" t="s">
        <v>170</v>
      </c>
      <c r="C143" s="4"/>
      <c r="D143" s="7">
        <v>45436</v>
      </c>
      <c r="E143" s="8">
        <v>-200000</v>
      </c>
      <c r="F143" s="8">
        <f>ROUND(F142+E143,5)</f>
        <v>200000</v>
      </c>
    </row>
    <row r="144" spans="1:6" x14ac:dyDescent="0.25">
      <c r="A144" s="2" t="s">
        <v>511</v>
      </c>
      <c r="B144" s="2" t="s">
        <v>70</v>
      </c>
      <c r="C144" s="2"/>
      <c r="D144" s="6"/>
      <c r="E144" s="3"/>
      <c r="F144" s="3">
        <v>0</v>
      </c>
    </row>
    <row r="145" spans="1:6" x14ac:dyDescent="0.25">
      <c r="A145" s="4" t="s">
        <v>511</v>
      </c>
      <c r="B145" s="4" t="s">
        <v>171</v>
      </c>
      <c r="C145" s="4"/>
      <c r="D145" s="7">
        <v>45306</v>
      </c>
      <c r="E145" s="5">
        <v>300000</v>
      </c>
      <c r="F145" s="5">
        <f>ROUND(F144+E145,5)</f>
        <v>300000</v>
      </c>
    </row>
    <row r="146" spans="1:6" ht="15.75" thickBot="1" x14ac:dyDescent="0.3">
      <c r="A146" s="4" t="s">
        <v>511</v>
      </c>
      <c r="B146" s="4" t="s">
        <v>170</v>
      </c>
      <c r="C146" s="4"/>
      <c r="D146" s="7">
        <v>45355</v>
      </c>
      <c r="E146" s="8">
        <v>-600000</v>
      </c>
      <c r="F146" s="8">
        <f>ROUND(F145+E146,5)</f>
        <v>-300000</v>
      </c>
    </row>
    <row r="147" spans="1:6" x14ac:dyDescent="0.25">
      <c r="A147" s="2" t="s">
        <v>512</v>
      </c>
      <c r="B147" s="2" t="s">
        <v>71</v>
      </c>
      <c r="C147" s="2"/>
      <c r="D147" s="6"/>
      <c r="E147" s="3"/>
      <c r="F147" s="3">
        <v>300000</v>
      </c>
    </row>
    <row r="148" spans="1:6" ht="15.75" thickBot="1" x14ac:dyDescent="0.3">
      <c r="A148" s="1" t="s">
        <v>512</v>
      </c>
      <c r="B148" s="4" t="s">
        <v>171</v>
      </c>
      <c r="C148" s="4"/>
      <c r="D148" s="7">
        <v>45322</v>
      </c>
      <c r="E148" s="8">
        <v>300000</v>
      </c>
      <c r="F148" s="8">
        <f>ROUND(F147+E148,5)</f>
        <v>600000</v>
      </c>
    </row>
    <row r="149" spans="1:6" x14ac:dyDescent="0.25">
      <c r="A149" s="2" t="s">
        <v>513</v>
      </c>
      <c r="B149" s="2" t="s">
        <v>72</v>
      </c>
      <c r="C149" s="2"/>
      <c r="D149" s="6"/>
      <c r="E149" s="3"/>
      <c r="F149" s="3">
        <v>400000</v>
      </c>
    </row>
    <row r="150" spans="1:6" ht="15.75" thickBot="1" x14ac:dyDescent="0.3">
      <c r="A150" s="1" t="s">
        <v>513</v>
      </c>
      <c r="B150" s="4" t="s">
        <v>170</v>
      </c>
      <c r="C150" s="4"/>
      <c r="D150" s="7">
        <v>45355</v>
      </c>
      <c r="E150" s="8">
        <v>-400000</v>
      </c>
      <c r="F150" s="8">
        <f>ROUND(F149+E150,5)</f>
        <v>0</v>
      </c>
    </row>
    <row r="151" spans="1:6" x14ac:dyDescent="0.25">
      <c r="A151" s="2" t="s">
        <v>514</v>
      </c>
      <c r="B151" s="2" t="s">
        <v>73</v>
      </c>
      <c r="C151" s="2"/>
      <c r="D151" s="6"/>
      <c r="E151" s="3"/>
      <c r="F151" s="3">
        <v>0</v>
      </c>
    </row>
    <row r="152" spans="1:6" x14ac:dyDescent="0.25">
      <c r="A152" s="2" t="s">
        <v>515</v>
      </c>
      <c r="B152" s="2" t="s">
        <v>74</v>
      </c>
      <c r="C152" s="2"/>
      <c r="D152" s="6"/>
      <c r="E152" s="3"/>
      <c r="F152" s="3">
        <v>515002</v>
      </c>
    </row>
    <row r="153" spans="1:6" ht="15.75" thickBot="1" x14ac:dyDescent="0.3">
      <c r="A153" s="1" t="s">
        <v>515</v>
      </c>
      <c r="B153" s="4" t="s">
        <v>170</v>
      </c>
      <c r="C153" s="4"/>
      <c r="D153" s="7">
        <v>45435</v>
      </c>
      <c r="E153" s="8">
        <v>-250000</v>
      </c>
      <c r="F153" s="8">
        <f>ROUND(F152+E153,5)</f>
        <v>265002</v>
      </c>
    </row>
    <row r="154" spans="1:6" x14ac:dyDescent="0.25">
      <c r="A154" s="2" t="s">
        <v>516</v>
      </c>
      <c r="B154" s="2" t="s">
        <v>75</v>
      </c>
      <c r="C154" s="2"/>
      <c r="D154" s="6"/>
      <c r="E154" s="3"/>
      <c r="F154" s="3">
        <v>65000</v>
      </c>
    </row>
    <row r="155" spans="1:6" ht="15.75" thickBot="1" x14ac:dyDescent="0.3">
      <c r="A155" s="1" t="s">
        <v>516</v>
      </c>
      <c r="B155" s="4" t="s">
        <v>170</v>
      </c>
      <c r="C155" s="4"/>
      <c r="D155" s="7">
        <v>45306</v>
      </c>
      <c r="E155" s="8">
        <v>-65000</v>
      </c>
      <c r="F155" s="8">
        <f>ROUND(F154+E155,5)</f>
        <v>0</v>
      </c>
    </row>
    <row r="156" spans="1:6" x14ac:dyDescent="0.25">
      <c r="A156" s="2" t="s">
        <v>517</v>
      </c>
      <c r="B156" s="2" t="s">
        <v>76</v>
      </c>
      <c r="C156" s="2"/>
      <c r="D156" s="6"/>
      <c r="E156" s="3"/>
      <c r="F156" s="3">
        <v>0</v>
      </c>
    </row>
    <row r="157" spans="1:6" x14ac:dyDescent="0.25">
      <c r="A157" s="4" t="s">
        <v>517</v>
      </c>
      <c r="B157" s="4" t="s">
        <v>171</v>
      </c>
      <c r="C157" s="4"/>
      <c r="D157" s="7">
        <v>45306</v>
      </c>
      <c r="E157" s="5">
        <v>325000</v>
      </c>
      <c r="F157" s="5">
        <f>ROUND(F156+E157,5)</f>
        <v>325000</v>
      </c>
    </row>
    <row r="158" spans="1:6" ht="15.75" thickBot="1" x14ac:dyDescent="0.3">
      <c r="A158" s="4" t="s">
        <v>517</v>
      </c>
      <c r="B158" s="4" t="s">
        <v>170</v>
      </c>
      <c r="C158" s="4"/>
      <c r="D158" s="7">
        <v>45344</v>
      </c>
      <c r="E158" s="8">
        <v>-500000</v>
      </c>
      <c r="F158" s="8">
        <f>ROUND(F157+E158,5)</f>
        <v>-175000</v>
      </c>
    </row>
    <row r="159" spans="1:6" x14ac:dyDescent="0.25">
      <c r="A159" s="2" t="s">
        <v>518</v>
      </c>
      <c r="B159" s="2" t="s">
        <v>77</v>
      </c>
      <c r="C159" s="2"/>
      <c r="D159" s="6"/>
      <c r="E159" s="3"/>
      <c r="F159" s="3">
        <v>1350000</v>
      </c>
    </row>
    <row r="160" spans="1:6" x14ac:dyDescent="0.25">
      <c r="A160" s="2" t="s">
        <v>519</v>
      </c>
      <c r="B160" s="2" t="s">
        <v>78</v>
      </c>
      <c r="C160" s="2"/>
      <c r="D160" s="6"/>
      <c r="E160" s="3"/>
      <c r="F160" s="3">
        <v>0</v>
      </c>
    </row>
    <row r="161" spans="1:6" x14ac:dyDescent="0.25">
      <c r="A161" s="4" t="s">
        <v>519</v>
      </c>
      <c r="B161" s="4" t="s">
        <v>171</v>
      </c>
      <c r="C161" s="4"/>
      <c r="D161" s="7">
        <v>45306</v>
      </c>
      <c r="E161" s="5">
        <v>325000</v>
      </c>
      <c r="F161" s="5">
        <f>ROUND(F160+E161,5)</f>
        <v>325000</v>
      </c>
    </row>
    <row r="162" spans="1:6" x14ac:dyDescent="0.25">
      <c r="A162" s="4" t="s">
        <v>519</v>
      </c>
      <c r="B162" s="4" t="s">
        <v>170</v>
      </c>
      <c r="C162" s="4"/>
      <c r="D162" s="7">
        <v>45327</v>
      </c>
      <c r="E162" s="5">
        <v>-150000</v>
      </c>
      <c r="F162" s="5">
        <f>ROUND(F161+E162,5)</f>
        <v>175000</v>
      </c>
    </row>
    <row r="163" spans="1:6" x14ac:dyDescent="0.25">
      <c r="A163" s="4" t="s">
        <v>519</v>
      </c>
      <c r="B163" s="4" t="s">
        <v>170</v>
      </c>
      <c r="C163" s="4"/>
      <c r="D163" s="7">
        <v>45373</v>
      </c>
      <c r="E163" s="5">
        <v>-50000</v>
      </c>
      <c r="F163" s="5">
        <f>ROUND(F162+E163,5)</f>
        <v>125000</v>
      </c>
    </row>
    <row r="164" spans="1:6" x14ac:dyDescent="0.25">
      <c r="A164" s="4" t="s">
        <v>519</v>
      </c>
      <c r="B164" s="4" t="s">
        <v>170</v>
      </c>
      <c r="C164" s="4"/>
      <c r="D164" s="7">
        <v>45434</v>
      </c>
      <c r="E164" s="5">
        <v>-100000</v>
      </c>
      <c r="F164" s="5">
        <f>ROUND(F163+E164,5)</f>
        <v>25000</v>
      </c>
    </row>
    <row r="165" spans="1:6" ht="15.75" thickBot="1" x14ac:dyDescent="0.3">
      <c r="A165" s="4" t="s">
        <v>519</v>
      </c>
      <c r="B165" s="4" t="s">
        <v>170</v>
      </c>
      <c r="C165" s="4"/>
      <c r="D165" s="7">
        <v>45434</v>
      </c>
      <c r="E165" s="8">
        <v>-20000</v>
      </c>
      <c r="F165" s="8">
        <f>ROUND(F164+E165,5)</f>
        <v>5000</v>
      </c>
    </row>
    <row r="166" spans="1:6" x14ac:dyDescent="0.25">
      <c r="A166" s="2" t="s">
        <v>520</v>
      </c>
      <c r="B166" s="2" t="s">
        <v>79</v>
      </c>
      <c r="C166" s="2"/>
      <c r="D166" s="6"/>
      <c r="E166" s="3"/>
      <c r="F166" s="3">
        <v>615000</v>
      </c>
    </row>
    <row r="167" spans="1:6" x14ac:dyDescent="0.25">
      <c r="A167" s="4" t="s">
        <v>520</v>
      </c>
      <c r="B167" s="4" t="s">
        <v>170</v>
      </c>
      <c r="C167" s="4"/>
      <c r="D167" s="7">
        <v>45321</v>
      </c>
      <c r="E167" s="5">
        <v>-200000</v>
      </c>
      <c r="F167" s="5">
        <f>ROUND(F166+E167,5)</f>
        <v>415000</v>
      </c>
    </row>
    <row r="168" spans="1:6" ht="15.75" thickBot="1" x14ac:dyDescent="0.3">
      <c r="A168" s="4" t="s">
        <v>520</v>
      </c>
      <c r="B168" s="4" t="s">
        <v>170</v>
      </c>
      <c r="C168" s="4"/>
      <c r="D168" s="7">
        <v>45355</v>
      </c>
      <c r="E168" s="8">
        <v>-460000</v>
      </c>
      <c r="F168" s="8">
        <f>ROUND(F167+E168,5)</f>
        <v>-45000</v>
      </c>
    </row>
    <row r="169" spans="1:6" x14ac:dyDescent="0.25">
      <c r="A169" s="2" t="s">
        <v>521</v>
      </c>
      <c r="B169" s="2" t="s">
        <v>80</v>
      </c>
      <c r="C169" s="2"/>
      <c r="D169" s="6"/>
      <c r="E169" s="3"/>
      <c r="F169" s="3">
        <v>0</v>
      </c>
    </row>
    <row r="170" spans="1:6" x14ac:dyDescent="0.25">
      <c r="A170" s="2" t="s">
        <v>522</v>
      </c>
      <c r="B170" s="2" t="s">
        <v>81</v>
      </c>
      <c r="C170" s="2"/>
      <c r="D170" s="6"/>
      <c r="E170" s="3"/>
      <c r="F170" s="3">
        <v>0</v>
      </c>
    </row>
    <row r="171" spans="1:6" x14ac:dyDescent="0.25">
      <c r="A171" s="2" t="s">
        <v>523</v>
      </c>
      <c r="B171" s="2" t="s">
        <v>82</v>
      </c>
      <c r="C171" s="2"/>
      <c r="D171" s="6"/>
      <c r="E171" s="3"/>
      <c r="F171" s="3">
        <v>201500</v>
      </c>
    </row>
    <row r="172" spans="1:6" ht="15.75" thickBot="1" x14ac:dyDescent="0.3">
      <c r="A172" s="1" t="s">
        <v>523</v>
      </c>
      <c r="B172" s="4" t="s">
        <v>170</v>
      </c>
      <c r="C172" s="4"/>
      <c r="D172" s="7">
        <v>45342</v>
      </c>
      <c r="E172" s="8">
        <v>-201500</v>
      </c>
      <c r="F172" s="8">
        <f>ROUND(F171+E172,5)</f>
        <v>0</v>
      </c>
    </row>
    <row r="173" spans="1:6" x14ac:dyDescent="0.25">
      <c r="A173" s="2" t="s">
        <v>524</v>
      </c>
      <c r="B173" s="2" t="s">
        <v>83</v>
      </c>
      <c r="C173" s="2"/>
      <c r="D173" s="6"/>
      <c r="E173" s="3"/>
      <c r="F173" s="3">
        <v>0</v>
      </c>
    </row>
    <row r="174" spans="1:6" x14ac:dyDescent="0.25">
      <c r="A174" s="4" t="s">
        <v>524</v>
      </c>
      <c r="B174" s="4" t="s">
        <v>171</v>
      </c>
      <c r="C174" s="4"/>
      <c r="D174" s="7">
        <v>45306</v>
      </c>
      <c r="E174" s="5">
        <v>300000</v>
      </c>
      <c r="F174" s="5">
        <f>ROUND(F173+E174,5)</f>
        <v>300000</v>
      </c>
    </row>
    <row r="175" spans="1:6" ht="15.75" thickBot="1" x14ac:dyDescent="0.3">
      <c r="A175" s="4" t="s">
        <v>524</v>
      </c>
      <c r="B175" s="4" t="s">
        <v>170</v>
      </c>
      <c r="C175" s="4"/>
      <c r="D175" s="7">
        <v>45355</v>
      </c>
      <c r="E175" s="8">
        <v>-600000</v>
      </c>
      <c r="F175" s="8">
        <f>ROUND(F174+E175,5)</f>
        <v>-300000</v>
      </c>
    </row>
    <row r="176" spans="1:6" x14ac:dyDescent="0.25">
      <c r="A176" s="2" t="s">
        <v>525</v>
      </c>
      <c r="B176" s="2" t="s">
        <v>84</v>
      </c>
      <c r="C176" s="2"/>
      <c r="D176" s="6"/>
      <c r="E176" s="3"/>
      <c r="F176" s="3">
        <v>0</v>
      </c>
    </row>
    <row r="177" spans="1:6" x14ac:dyDescent="0.25">
      <c r="A177" s="4" t="s">
        <v>525</v>
      </c>
      <c r="B177" s="4" t="s">
        <v>170</v>
      </c>
      <c r="C177" s="4"/>
      <c r="D177" s="7">
        <v>45370</v>
      </c>
      <c r="E177" s="5">
        <v>-200000</v>
      </c>
      <c r="F177" s="5">
        <f>ROUND(F176+E177,5)</f>
        <v>-200000</v>
      </c>
    </row>
    <row r="178" spans="1:6" ht="15.75" thickBot="1" x14ac:dyDescent="0.3">
      <c r="A178" s="4" t="s">
        <v>525</v>
      </c>
      <c r="B178" s="4" t="s">
        <v>170</v>
      </c>
      <c r="C178" s="4"/>
      <c r="D178" s="7">
        <v>45391</v>
      </c>
      <c r="E178" s="8">
        <v>-100000</v>
      </c>
      <c r="F178" s="8">
        <f>ROUND(F177+E178,5)</f>
        <v>-300000</v>
      </c>
    </row>
    <row r="179" spans="1:6" x14ac:dyDescent="0.25">
      <c r="A179" s="2" t="s">
        <v>526</v>
      </c>
      <c r="B179" s="2" t="s">
        <v>85</v>
      </c>
      <c r="C179" s="2"/>
      <c r="D179" s="6"/>
      <c r="E179" s="3"/>
      <c r="F179" s="3">
        <v>65000</v>
      </c>
    </row>
    <row r="180" spans="1:6" x14ac:dyDescent="0.25">
      <c r="A180" s="4" t="s">
        <v>526</v>
      </c>
      <c r="B180" s="4" t="s">
        <v>171</v>
      </c>
      <c r="C180" s="4"/>
      <c r="D180" s="7">
        <v>45306</v>
      </c>
      <c r="E180" s="5">
        <v>50000</v>
      </c>
      <c r="F180" s="5">
        <f>ROUND(F179+E180,5)</f>
        <v>115000</v>
      </c>
    </row>
    <row r="181" spans="1:6" x14ac:dyDescent="0.25">
      <c r="A181" s="4" t="s">
        <v>526</v>
      </c>
      <c r="B181" s="4" t="s">
        <v>170</v>
      </c>
      <c r="C181" s="4"/>
      <c r="D181" s="7">
        <v>45341</v>
      </c>
      <c r="E181" s="5">
        <v>-65000</v>
      </c>
      <c r="F181" s="5">
        <f>ROUND(F180+E181,5)</f>
        <v>50000</v>
      </c>
    </row>
    <row r="182" spans="1:6" ht="15.75" thickBot="1" x14ac:dyDescent="0.3">
      <c r="A182" s="4" t="s">
        <v>526</v>
      </c>
      <c r="B182" s="4" t="s">
        <v>170</v>
      </c>
      <c r="C182" s="4"/>
      <c r="D182" s="7">
        <v>45341</v>
      </c>
      <c r="E182" s="8">
        <v>-50000</v>
      </c>
      <c r="F182" s="8">
        <f>ROUND(F181+E182,5)</f>
        <v>0</v>
      </c>
    </row>
    <row r="183" spans="1:6" x14ac:dyDescent="0.25">
      <c r="A183" s="2" t="s">
        <v>527</v>
      </c>
      <c r="B183" s="2" t="s">
        <v>86</v>
      </c>
      <c r="C183" s="2"/>
      <c r="D183" s="6"/>
      <c r="E183" s="3"/>
      <c r="F183" s="3">
        <v>65000</v>
      </c>
    </row>
    <row r="184" spans="1:6" ht="15.75" thickBot="1" x14ac:dyDescent="0.3">
      <c r="A184" s="1" t="s">
        <v>527</v>
      </c>
      <c r="B184" s="4" t="s">
        <v>170</v>
      </c>
      <c r="C184" s="4"/>
      <c r="D184" s="7">
        <v>45306</v>
      </c>
      <c r="E184" s="8">
        <v>-65000</v>
      </c>
      <c r="F184" s="8">
        <f>ROUND(F183+E184,5)</f>
        <v>0</v>
      </c>
    </row>
    <row r="185" spans="1:6" x14ac:dyDescent="0.25">
      <c r="A185" s="2" t="s">
        <v>528</v>
      </c>
      <c r="B185" s="2" t="s">
        <v>87</v>
      </c>
      <c r="C185" s="2"/>
      <c r="D185" s="6"/>
      <c r="E185" s="3"/>
      <c r="F185" s="3">
        <v>0</v>
      </c>
    </row>
    <row r="186" spans="1:6" x14ac:dyDescent="0.25">
      <c r="A186" s="4" t="s">
        <v>528</v>
      </c>
      <c r="B186" s="4" t="s">
        <v>171</v>
      </c>
      <c r="C186" s="4"/>
      <c r="D186" s="7">
        <v>45306</v>
      </c>
      <c r="E186" s="5">
        <v>325000</v>
      </c>
      <c r="F186" s="5">
        <f>ROUND(F185+E186,5)</f>
        <v>325000</v>
      </c>
    </row>
    <row r="187" spans="1:6" x14ac:dyDescent="0.25">
      <c r="A187" s="4" t="s">
        <v>528</v>
      </c>
      <c r="B187" s="4" t="s">
        <v>170</v>
      </c>
      <c r="C187" s="4"/>
      <c r="D187" s="7">
        <v>45320</v>
      </c>
      <c r="E187" s="5">
        <v>-25000</v>
      </c>
      <c r="F187" s="5">
        <f>ROUND(F186+E187,5)</f>
        <v>300000</v>
      </c>
    </row>
    <row r="188" spans="1:6" x14ac:dyDescent="0.25">
      <c r="A188" s="4" t="s">
        <v>528</v>
      </c>
      <c r="B188" s="4" t="s">
        <v>170</v>
      </c>
      <c r="C188" s="4"/>
      <c r="D188" s="7">
        <v>45341</v>
      </c>
      <c r="E188" s="5">
        <v>-200000</v>
      </c>
      <c r="F188" s="5">
        <f>ROUND(F187+E188,5)</f>
        <v>100000</v>
      </c>
    </row>
    <row r="189" spans="1:6" ht="15.75" thickBot="1" x14ac:dyDescent="0.3">
      <c r="A189" s="4" t="s">
        <v>528</v>
      </c>
      <c r="B189" s="4" t="s">
        <v>170</v>
      </c>
      <c r="C189" s="4"/>
      <c r="D189" s="7">
        <v>45436</v>
      </c>
      <c r="E189" s="8">
        <v>-100000</v>
      </c>
      <c r="F189" s="8">
        <f>ROUND(F188+E189,5)</f>
        <v>0</v>
      </c>
    </row>
    <row r="190" spans="1:6" x14ac:dyDescent="0.25">
      <c r="A190" s="2" t="s">
        <v>529</v>
      </c>
      <c r="B190" s="2" t="s">
        <v>88</v>
      </c>
      <c r="C190" s="2"/>
      <c r="D190" s="6"/>
      <c r="E190" s="3"/>
      <c r="F190" s="3">
        <v>150000</v>
      </c>
    </row>
    <row r="191" spans="1:6" x14ac:dyDescent="0.25">
      <c r="A191" s="4" t="s">
        <v>529</v>
      </c>
      <c r="B191" s="4" t="s">
        <v>171</v>
      </c>
      <c r="C191" s="4"/>
      <c r="D191" s="7">
        <v>45306</v>
      </c>
      <c r="E191" s="5">
        <v>300000</v>
      </c>
      <c r="F191" s="5">
        <f>ROUND(F190+E191,5)</f>
        <v>450000</v>
      </c>
    </row>
    <row r="192" spans="1:6" x14ac:dyDescent="0.25">
      <c r="A192" s="4" t="s">
        <v>529</v>
      </c>
      <c r="B192" s="4" t="s">
        <v>170</v>
      </c>
      <c r="C192" s="4"/>
      <c r="D192" s="7">
        <v>45344</v>
      </c>
      <c r="E192" s="5">
        <v>-175000</v>
      </c>
      <c r="F192" s="5">
        <f>ROUND(F191+E192,5)</f>
        <v>275000</v>
      </c>
    </row>
    <row r="193" spans="1:6" x14ac:dyDescent="0.25">
      <c r="A193" s="4" t="s">
        <v>529</v>
      </c>
      <c r="B193" s="4" t="s">
        <v>170</v>
      </c>
      <c r="C193" s="4"/>
      <c r="D193" s="7">
        <v>45407</v>
      </c>
      <c r="E193" s="5">
        <v>-150000</v>
      </c>
      <c r="F193" s="5">
        <f>ROUND(F192+E193,5)</f>
        <v>125000</v>
      </c>
    </row>
    <row r="194" spans="1:6" ht="15.75" thickBot="1" x14ac:dyDescent="0.3">
      <c r="A194" s="4" t="s">
        <v>529</v>
      </c>
      <c r="B194" s="4" t="s">
        <v>170</v>
      </c>
      <c r="C194" s="4"/>
      <c r="D194" s="7">
        <v>45436</v>
      </c>
      <c r="E194" s="8">
        <v>-100000</v>
      </c>
      <c r="F194" s="8">
        <f>ROUND(F193+E194,5)</f>
        <v>25000</v>
      </c>
    </row>
    <row r="195" spans="1:6" x14ac:dyDescent="0.25">
      <c r="A195" s="2" t="s">
        <v>530</v>
      </c>
      <c r="B195" s="2" t="s">
        <v>89</v>
      </c>
      <c r="C195" s="2"/>
      <c r="D195" s="6"/>
      <c r="E195" s="3"/>
      <c r="F195" s="3">
        <v>0</v>
      </c>
    </row>
    <row r="196" spans="1:6" x14ac:dyDescent="0.25">
      <c r="A196" s="4" t="s">
        <v>530</v>
      </c>
      <c r="B196" s="4" t="s">
        <v>171</v>
      </c>
      <c r="C196" s="4"/>
      <c r="D196" s="7">
        <v>45306</v>
      </c>
      <c r="E196" s="5">
        <v>300000</v>
      </c>
      <c r="F196" s="5">
        <f>ROUND(F195+E196,5)</f>
        <v>300000</v>
      </c>
    </row>
    <row r="197" spans="1:6" ht="15.75" thickBot="1" x14ac:dyDescent="0.3">
      <c r="A197" s="4" t="s">
        <v>530</v>
      </c>
      <c r="B197" s="4" t="s">
        <v>170</v>
      </c>
      <c r="C197" s="4"/>
      <c r="D197" s="7">
        <v>45355</v>
      </c>
      <c r="E197" s="8">
        <v>-600000</v>
      </c>
      <c r="F197" s="8">
        <f>ROUND(F196+E197,5)</f>
        <v>-300000</v>
      </c>
    </row>
    <row r="198" spans="1:6" x14ac:dyDescent="0.25">
      <c r="A198" s="2" t="s">
        <v>531</v>
      </c>
      <c r="B198" s="2" t="s">
        <v>90</v>
      </c>
      <c r="C198" s="2"/>
      <c r="D198" s="6"/>
      <c r="E198" s="3"/>
      <c r="F198" s="3">
        <v>0</v>
      </c>
    </row>
    <row r="199" spans="1:6" x14ac:dyDescent="0.25">
      <c r="A199" s="2" t="s">
        <v>532</v>
      </c>
      <c r="B199" s="2" t="s">
        <v>91</v>
      </c>
      <c r="C199" s="2"/>
      <c r="D199" s="6"/>
      <c r="E199" s="3"/>
      <c r="F199" s="3">
        <v>149510</v>
      </c>
    </row>
    <row r="200" spans="1:6" x14ac:dyDescent="0.25">
      <c r="A200" s="4" t="s">
        <v>532</v>
      </c>
      <c r="B200" s="4" t="s">
        <v>171</v>
      </c>
      <c r="C200" s="4"/>
      <c r="D200" s="7">
        <v>45306</v>
      </c>
      <c r="E200" s="5">
        <v>300000</v>
      </c>
      <c r="F200" s="5">
        <f>ROUND(F199+E200,5)</f>
        <v>449510</v>
      </c>
    </row>
    <row r="201" spans="1:6" x14ac:dyDescent="0.25">
      <c r="A201" s="4" t="s">
        <v>532</v>
      </c>
      <c r="B201" s="4" t="s">
        <v>170</v>
      </c>
      <c r="C201" s="4"/>
      <c r="D201" s="7">
        <v>45370</v>
      </c>
      <c r="E201" s="5">
        <v>-200000</v>
      </c>
      <c r="F201" s="5">
        <f>ROUND(F200+E201,5)</f>
        <v>249510</v>
      </c>
    </row>
    <row r="202" spans="1:6" ht="15.75" thickBot="1" x14ac:dyDescent="0.3">
      <c r="A202" s="4" t="s">
        <v>532</v>
      </c>
      <c r="B202" s="4" t="s">
        <v>170</v>
      </c>
      <c r="C202" s="4"/>
      <c r="D202" s="7">
        <v>45391</v>
      </c>
      <c r="E202" s="8">
        <v>-100000</v>
      </c>
      <c r="F202" s="8">
        <f>ROUND(F201+E202,5)</f>
        <v>149510</v>
      </c>
    </row>
    <row r="203" spans="1:6" x14ac:dyDescent="0.25">
      <c r="A203" s="4" t="s">
        <v>533</v>
      </c>
      <c r="B203" s="2" t="s">
        <v>92</v>
      </c>
      <c r="C203" s="2"/>
      <c r="D203" s="6"/>
      <c r="E203" s="3"/>
      <c r="F203" s="3">
        <v>420000</v>
      </c>
    </row>
    <row r="204" spans="1:6" ht="15.75" thickBot="1" x14ac:dyDescent="0.3">
      <c r="A204" s="1" t="s">
        <v>533</v>
      </c>
      <c r="B204" s="4" t="s">
        <v>172</v>
      </c>
      <c r="C204" s="4"/>
      <c r="D204" s="7">
        <v>45413</v>
      </c>
      <c r="E204" s="8">
        <v>-300000</v>
      </c>
      <c r="F204" s="8">
        <f>ROUND(F203+E204,5)</f>
        <v>120000</v>
      </c>
    </row>
    <row r="205" spans="1:6" x14ac:dyDescent="0.25">
      <c r="A205" s="2" t="s">
        <v>534</v>
      </c>
      <c r="B205" s="2" t="s">
        <v>93</v>
      </c>
      <c r="C205" s="2"/>
      <c r="D205" s="6"/>
      <c r="E205" s="3"/>
      <c r="F205" s="3">
        <v>280000</v>
      </c>
    </row>
    <row r="206" spans="1:6" ht="15.75" thickBot="1" x14ac:dyDescent="0.3">
      <c r="A206" s="1" t="s">
        <v>534</v>
      </c>
      <c r="B206" s="4" t="s">
        <v>171</v>
      </c>
      <c r="C206" s="4"/>
      <c r="D206" s="7">
        <v>45322</v>
      </c>
      <c r="E206" s="8">
        <v>300000</v>
      </c>
      <c r="F206" s="8">
        <f>ROUND(F205+E206,5)</f>
        <v>580000</v>
      </c>
    </row>
    <row r="207" spans="1:6" x14ac:dyDescent="0.25">
      <c r="A207" s="2" t="s">
        <v>535</v>
      </c>
      <c r="B207" s="2" t="s">
        <v>94</v>
      </c>
      <c r="C207" s="2"/>
      <c r="D207" s="6"/>
      <c r="E207" s="3"/>
      <c r="F207" s="3">
        <v>0</v>
      </c>
    </row>
    <row r="208" spans="1:6" x14ac:dyDescent="0.25">
      <c r="A208" s="4" t="s">
        <v>535</v>
      </c>
      <c r="B208" s="4" t="s">
        <v>171</v>
      </c>
      <c r="C208" s="4"/>
      <c r="D208" s="7">
        <v>45306</v>
      </c>
      <c r="E208" s="5">
        <v>300000</v>
      </c>
      <c r="F208" s="5">
        <f>ROUND(F207+E208,5)</f>
        <v>300000</v>
      </c>
    </row>
    <row r="209" spans="1:6" x14ac:dyDescent="0.25">
      <c r="A209" s="4" t="s">
        <v>535</v>
      </c>
      <c r="B209" s="4" t="s">
        <v>170</v>
      </c>
      <c r="C209" s="4"/>
      <c r="D209" s="7">
        <v>45343</v>
      </c>
      <c r="E209" s="5">
        <v>-100000</v>
      </c>
      <c r="F209" s="5">
        <f>ROUND(F208+E209,5)</f>
        <v>200000</v>
      </c>
    </row>
    <row r="210" spans="1:6" ht="15.75" thickBot="1" x14ac:dyDescent="0.3">
      <c r="A210" s="4" t="s">
        <v>535</v>
      </c>
      <c r="B210" s="4" t="s">
        <v>170</v>
      </c>
      <c r="C210" s="4"/>
      <c r="D210" s="7">
        <v>45404</v>
      </c>
      <c r="E210" s="8">
        <v>-200000</v>
      </c>
      <c r="F210" s="8">
        <f>ROUND(F209+E210,5)</f>
        <v>0</v>
      </c>
    </row>
    <row r="211" spans="1:6" x14ac:dyDescent="0.25">
      <c r="A211" s="2" t="s">
        <v>536</v>
      </c>
      <c r="B211" s="2" t="s">
        <v>95</v>
      </c>
      <c r="C211" s="2"/>
      <c r="D211" s="6"/>
      <c r="E211" s="3"/>
      <c r="F211" s="3">
        <v>0</v>
      </c>
    </row>
    <row r="212" spans="1:6" x14ac:dyDescent="0.25">
      <c r="A212" s="2" t="s">
        <v>537</v>
      </c>
      <c r="B212" s="2" t="s">
        <v>96</v>
      </c>
      <c r="C212" s="2"/>
      <c r="D212" s="6"/>
      <c r="E212" s="3"/>
      <c r="F212" s="3">
        <v>0</v>
      </c>
    </row>
    <row r="213" spans="1:6" x14ac:dyDescent="0.25">
      <c r="A213" s="2" t="s">
        <v>538</v>
      </c>
      <c r="B213" s="2" t="s">
        <v>97</v>
      </c>
      <c r="C213" s="2"/>
      <c r="D213" s="6"/>
      <c r="E213" s="3"/>
      <c r="F213" s="3">
        <v>65000</v>
      </c>
    </row>
    <row r="214" spans="1:6" ht="15.75" thickBot="1" x14ac:dyDescent="0.3">
      <c r="A214" s="1" t="s">
        <v>538</v>
      </c>
      <c r="B214" s="4" t="s">
        <v>170</v>
      </c>
      <c r="C214" s="4"/>
      <c r="D214" s="7">
        <v>45321</v>
      </c>
      <c r="E214" s="8">
        <v>-65000</v>
      </c>
      <c r="F214" s="8">
        <f>ROUND(F213+E214,5)</f>
        <v>0</v>
      </c>
    </row>
    <row r="215" spans="1:6" x14ac:dyDescent="0.25">
      <c r="A215" s="2" t="s">
        <v>539</v>
      </c>
      <c r="B215" s="2" t="s">
        <v>98</v>
      </c>
      <c r="C215" s="2"/>
      <c r="D215" s="6"/>
      <c r="E215" s="3"/>
      <c r="F215" s="3">
        <v>0</v>
      </c>
    </row>
    <row r="216" spans="1:6" x14ac:dyDescent="0.25">
      <c r="A216" s="2" t="s">
        <v>540</v>
      </c>
      <c r="B216" s="2" t="s">
        <v>99</v>
      </c>
      <c r="C216" s="2"/>
      <c r="D216" s="6"/>
      <c r="E216" s="3"/>
      <c r="F216" s="3">
        <v>290755</v>
      </c>
    </row>
    <row r="217" spans="1:6" x14ac:dyDescent="0.25">
      <c r="A217" s="2" t="s">
        <v>541</v>
      </c>
      <c r="B217" s="2" t="s">
        <v>100</v>
      </c>
      <c r="C217" s="2"/>
      <c r="D217" s="6"/>
      <c r="E217" s="3"/>
      <c r="F217" s="3">
        <v>400000</v>
      </c>
    </row>
    <row r="218" spans="1:6" ht="15.75" thickBot="1" x14ac:dyDescent="0.3">
      <c r="A218" s="1" t="s">
        <v>541</v>
      </c>
      <c r="B218" s="4" t="s">
        <v>171</v>
      </c>
      <c r="C218" s="4"/>
      <c r="D218" s="7">
        <v>45322</v>
      </c>
      <c r="E218" s="8">
        <v>400000</v>
      </c>
      <c r="F218" s="8">
        <f>ROUND(F217+E218,5)</f>
        <v>800000</v>
      </c>
    </row>
    <row r="219" spans="1:6" x14ac:dyDescent="0.25">
      <c r="A219" s="2" t="s">
        <v>542</v>
      </c>
      <c r="B219" s="2" t="s">
        <v>101</v>
      </c>
      <c r="C219" s="2"/>
      <c r="D219" s="6"/>
      <c r="E219" s="3"/>
      <c r="F219" s="3">
        <v>800000</v>
      </c>
    </row>
    <row r="220" spans="1:6" x14ac:dyDescent="0.25">
      <c r="A220" s="2" t="s">
        <v>543</v>
      </c>
      <c r="B220" s="2" t="s">
        <v>102</v>
      </c>
      <c r="C220" s="2"/>
      <c r="D220" s="6"/>
      <c r="E220" s="3"/>
      <c r="F220" s="3">
        <v>0</v>
      </c>
    </row>
    <row r="221" spans="1:6" x14ac:dyDescent="0.25">
      <c r="A221" s="4" t="s">
        <v>543</v>
      </c>
      <c r="B221" s="4" t="s">
        <v>171</v>
      </c>
      <c r="C221" s="4"/>
      <c r="D221" s="7">
        <v>45306</v>
      </c>
      <c r="E221" s="5">
        <v>425000</v>
      </c>
      <c r="F221" s="5">
        <f>ROUND(F220+E221,5)</f>
        <v>425000</v>
      </c>
    </row>
    <row r="222" spans="1:6" x14ac:dyDescent="0.25">
      <c r="A222" s="4" t="s">
        <v>543</v>
      </c>
      <c r="B222" s="4" t="s">
        <v>170</v>
      </c>
      <c r="C222" s="4"/>
      <c r="D222" s="7">
        <v>45370</v>
      </c>
      <c r="E222" s="5">
        <v>-300000</v>
      </c>
      <c r="F222" s="5">
        <f>ROUND(F221+E222,5)</f>
        <v>125000</v>
      </c>
    </row>
    <row r="223" spans="1:6" ht="15.75" thickBot="1" x14ac:dyDescent="0.3">
      <c r="A223" s="4" t="s">
        <v>543</v>
      </c>
      <c r="B223" s="4" t="s">
        <v>170</v>
      </c>
      <c r="C223" s="4"/>
      <c r="D223" s="7">
        <v>45391</v>
      </c>
      <c r="E223" s="8">
        <v>-100000</v>
      </c>
      <c r="F223" s="8">
        <f>ROUND(F222+E223,5)</f>
        <v>25000</v>
      </c>
    </row>
    <row r="224" spans="1:6" x14ac:dyDescent="0.25">
      <c r="A224" s="2" t="s">
        <v>544</v>
      </c>
      <c r="B224" s="2" t="s">
        <v>103</v>
      </c>
      <c r="C224" s="2"/>
      <c r="D224" s="6"/>
      <c r="E224" s="3"/>
      <c r="F224" s="3">
        <v>0</v>
      </c>
    </row>
    <row r="225" spans="1:6" x14ac:dyDescent="0.25">
      <c r="A225" s="4" t="s">
        <v>544</v>
      </c>
      <c r="B225" s="4" t="s">
        <v>172</v>
      </c>
      <c r="C225" s="4"/>
      <c r="D225" s="7">
        <v>45306</v>
      </c>
      <c r="E225" s="5">
        <v>-400000</v>
      </c>
      <c r="F225" s="5">
        <f>ROUND(F224+E225,5)</f>
        <v>-400000</v>
      </c>
    </row>
    <row r="226" spans="1:6" ht="15.75" thickBot="1" x14ac:dyDescent="0.3">
      <c r="A226" s="4" t="s">
        <v>544</v>
      </c>
      <c r="B226" s="4" t="s">
        <v>171</v>
      </c>
      <c r="C226" s="4"/>
      <c r="D226" s="7">
        <v>45322</v>
      </c>
      <c r="E226" s="8">
        <v>400000</v>
      </c>
      <c r="F226" s="8">
        <f>ROUND(F225+E226,5)</f>
        <v>0</v>
      </c>
    </row>
    <row r="227" spans="1:6" x14ac:dyDescent="0.25">
      <c r="A227" s="2" t="s">
        <v>545</v>
      </c>
      <c r="B227" s="2" t="s">
        <v>104</v>
      </c>
      <c r="C227" s="2"/>
      <c r="D227" s="6"/>
      <c r="E227" s="3"/>
      <c r="F227" s="3">
        <v>30000</v>
      </c>
    </row>
    <row r="228" spans="1:6" ht="15.75" thickBot="1" x14ac:dyDescent="0.3">
      <c r="A228" s="1" t="s">
        <v>545</v>
      </c>
      <c r="B228" s="4" t="s">
        <v>170</v>
      </c>
      <c r="C228" s="4"/>
      <c r="D228" s="7">
        <v>45343</v>
      </c>
      <c r="E228" s="8">
        <v>-30000</v>
      </c>
      <c r="F228" s="8">
        <f>ROUND(F227+E228,5)</f>
        <v>0</v>
      </c>
    </row>
    <row r="229" spans="1:6" x14ac:dyDescent="0.25">
      <c r="A229" s="2" t="s">
        <v>546</v>
      </c>
      <c r="B229" s="2" t="s">
        <v>105</v>
      </c>
      <c r="C229" s="2"/>
      <c r="D229" s="6"/>
      <c r="E229" s="3"/>
      <c r="F229" s="3">
        <v>0</v>
      </c>
    </row>
    <row r="230" spans="1:6" x14ac:dyDescent="0.25">
      <c r="A230" s="2" t="s">
        <v>547</v>
      </c>
      <c r="B230" s="2" t="s">
        <v>106</v>
      </c>
      <c r="C230" s="2"/>
      <c r="D230" s="6"/>
      <c r="E230" s="3"/>
      <c r="F230" s="3">
        <v>800000</v>
      </c>
    </row>
    <row r="231" spans="1:6" x14ac:dyDescent="0.25">
      <c r="A231" s="2" t="s">
        <v>548</v>
      </c>
      <c r="B231" s="2" t="s">
        <v>107</v>
      </c>
      <c r="C231" s="2"/>
      <c r="D231" s="6"/>
      <c r="E231" s="3"/>
      <c r="F231" s="3">
        <v>600000</v>
      </c>
    </row>
    <row r="232" spans="1:6" x14ac:dyDescent="0.25">
      <c r="A232" s="2" t="s">
        <v>549</v>
      </c>
      <c r="B232" s="2" t="s">
        <v>108</v>
      </c>
      <c r="C232" s="2"/>
      <c r="D232" s="6"/>
      <c r="E232" s="3"/>
      <c r="F232" s="3">
        <v>64971</v>
      </c>
    </row>
    <row r="233" spans="1:6" ht="15.75" thickBot="1" x14ac:dyDescent="0.3">
      <c r="A233" s="1" t="s">
        <v>549</v>
      </c>
      <c r="B233" s="4" t="s">
        <v>170</v>
      </c>
      <c r="C233" s="4"/>
      <c r="D233" s="7">
        <v>45302</v>
      </c>
      <c r="E233" s="8">
        <v>-65000</v>
      </c>
      <c r="F233" s="8">
        <f>ROUND(F232+E233,5)</f>
        <v>-29</v>
      </c>
    </row>
    <row r="234" spans="1:6" x14ac:dyDescent="0.25">
      <c r="A234" s="2" t="s">
        <v>550</v>
      </c>
      <c r="B234" s="2" t="s">
        <v>109</v>
      </c>
      <c r="C234" s="2"/>
      <c r="D234" s="6"/>
      <c r="E234" s="3"/>
      <c r="F234" s="3">
        <v>200000</v>
      </c>
    </row>
    <row r="235" spans="1:6" ht="15.75" thickBot="1" x14ac:dyDescent="0.3">
      <c r="A235" s="1" t="s">
        <v>550</v>
      </c>
      <c r="B235" s="4" t="s">
        <v>171</v>
      </c>
      <c r="C235" s="4"/>
      <c r="D235" s="7">
        <v>45322</v>
      </c>
      <c r="E235" s="8">
        <v>400000</v>
      </c>
      <c r="F235" s="8">
        <f>ROUND(F234+E235,5)</f>
        <v>600000</v>
      </c>
    </row>
    <row r="236" spans="1:6" x14ac:dyDescent="0.25">
      <c r="A236" s="2" t="s">
        <v>551</v>
      </c>
      <c r="B236" s="2" t="s">
        <v>110</v>
      </c>
      <c r="C236" s="2"/>
      <c r="D236" s="6"/>
      <c r="E236" s="3"/>
      <c r="F236" s="3">
        <v>0</v>
      </c>
    </row>
    <row r="237" spans="1:6" x14ac:dyDescent="0.25">
      <c r="A237" s="2" t="s">
        <v>552</v>
      </c>
      <c r="B237" s="2" t="s">
        <v>111</v>
      </c>
      <c r="C237" s="2"/>
      <c r="D237" s="6"/>
      <c r="E237" s="3"/>
      <c r="F237" s="3">
        <v>900000</v>
      </c>
    </row>
    <row r="238" spans="1:6" x14ac:dyDescent="0.25">
      <c r="A238" s="2" t="s">
        <v>553</v>
      </c>
      <c r="B238" s="2" t="s">
        <v>112</v>
      </c>
      <c r="C238" s="2"/>
      <c r="D238" s="6"/>
      <c r="E238" s="3"/>
      <c r="F238" s="3">
        <v>20000</v>
      </c>
    </row>
    <row r="239" spans="1:6" x14ac:dyDescent="0.25">
      <c r="A239" s="2" t="s">
        <v>553</v>
      </c>
      <c r="B239" s="2" t="s">
        <v>113</v>
      </c>
      <c r="C239" s="2"/>
      <c r="D239" s="6"/>
      <c r="E239" s="3"/>
      <c r="F239" s="3">
        <v>0</v>
      </c>
    </row>
    <row r="240" spans="1:6" x14ac:dyDescent="0.25">
      <c r="A240" s="2" t="s">
        <v>554</v>
      </c>
      <c r="B240" s="2" t="s">
        <v>114</v>
      </c>
      <c r="C240" s="2"/>
      <c r="D240" s="6"/>
      <c r="E240" s="3"/>
      <c r="F240" s="3">
        <v>287500</v>
      </c>
    </row>
    <row r="241" spans="1:6" x14ac:dyDescent="0.25">
      <c r="A241" s="4" t="s">
        <v>554</v>
      </c>
      <c r="B241" s="4" t="s">
        <v>171</v>
      </c>
      <c r="C241" s="4"/>
      <c r="D241" s="7">
        <v>45322</v>
      </c>
      <c r="E241" s="5">
        <v>300000</v>
      </c>
      <c r="F241" s="5">
        <f>ROUND(F240+E241,5)</f>
        <v>587500</v>
      </c>
    </row>
    <row r="242" spans="1:6" x14ac:dyDescent="0.25">
      <c r="A242" s="4" t="s">
        <v>554</v>
      </c>
      <c r="B242" s="4" t="s">
        <v>170</v>
      </c>
      <c r="C242" s="4"/>
      <c r="D242" s="7">
        <v>45343</v>
      </c>
      <c r="E242" s="5">
        <v>-50000</v>
      </c>
      <c r="F242" s="5">
        <f>ROUND(F241+E242,5)</f>
        <v>537500</v>
      </c>
    </row>
    <row r="243" spans="1:6" x14ac:dyDescent="0.25">
      <c r="A243" s="4" t="s">
        <v>554</v>
      </c>
      <c r="B243" s="4" t="s">
        <v>170</v>
      </c>
      <c r="C243" s="4"/>
      <c r="D243" s="7">
        <v>45359</v>
      </c>
      <c r="E243" s="5">
        <v>-89000</v>
      </c>
      <c r="F243" s="5">
        <f>ROUND(F242+E243,5)</f>
        <v>448500</v>
      </c>
    </row>
    <row r="244" spans="1:6" x14ac:dyDescent="0.25">
      <c r="A244" s="4" t="s">
        <v>554</v>
      </c>
      <c r="B244" s="4" t="s">
        <v>170</v>
      </c>
      <c r="C244" s="4"/>
      <c r="D244" s="7">
        <v>45384</v>
      </c>
      <c r="E244" s="5">
        <v>-100000</v>
      </c>
      <c r="F244" s="5">
        <f>ROUND(F243+E244,5)</f>
        <v>348500</v>
      </c>
    </row>
    <row r="245" spans="1:6" ht="15.75" thickBot="1" x14ac:dyDescent="0.3">
      <c r="A245" s="4" t="s">
        <v>554</v>
      </c>
      <c r="B245" s="4" t="s">
        <v>170</v>
      </c>
      <c r="C245" s="4"/>
      <c r="D245" s="7">
        <v>45421</v>
      </c>
      <c r="E245" s="8">
        <v>-60000</v>
      </c>
      <c r="F245" s="8">
        <f>ROUND(F244+E245,5)</f>
        <v>288500</v>
      </c>
    </row>
    <row r="246" spans="1:6" x14ac:dyDescent="0.25">
      <c r="A246" s="2" t="s">
        <v>555</v>
      </c>
      <c r="B246" s="2" t="s">
        <v>115</v>
      </c>
      <c r="C246" s="2"/>
      <c r="D246" s="6"/>
      <c r="E246" s="3"/>
      <c r="F246" s="3">
        <v>600000</v>
      </c>
    </row>
    <row r="247" spans="1:6" ht="15.75" thickBot="1" x14ac:dyDescent="0.3">
      <c r="A247" s="1" t="s">
        <v>555</v>
      </c>
      <c r="B247" s="4" t="s">
        <v>171</v>
      </c>
      <c r="C247" s="4"/>
      <c r="D247" s="7">
        <v>45306</v>
      </c>
      <c r="E247" s="8">
        <v>300000</v>
      </c>
      <c r="F247" s="8">
        <f>ROUND(F246+E247,5)</f>
        <v>900000</v>
      </c>
    </row>
    <row r="248" spans="1:6" x14ac:dyDescent="0.25">
      <c r="A248" s="2" t="s">
        <v>556</v>
      </c>
      <c r="B248" s="2" t="s">
        <v>116</v>
      </c>
      <c r="C248" s="2"/>
      <c r="D248" s="6"/>
      <c r="E248" s="3"/>
      <c r="F248" s="3">
        <v>143000</v>
      </c>
    </row>
    <row r="249" spans="1:6" x14ac:dyDescent="0.25">
      <c r="A249" s="2" t="s">
        <v>557</v>
      </c>
      <c r="B249" s="2" t="s">
        <v>117</v>
      </c>
      <c r="C249" s="2"/>
      <c r="D249" s="6"/>
      <c r="E249" s="3"/>
      <c r="F249" s="3">
        <v>0</v>
      </c>
    </row>
    <row r="250" spans="1:6" x14ac:dyDescent="0.25">
      <c r="A250" s="2" t="s">
        <v>558</v>
      </c>
      <c r="B250" s="2" t="s">
        <v>118</v>
      </c>
      <c r="C250" s="2"/>
      <c r="D250" s="6"/>
      <c r="E250" s="3"/>
      <c r="F250" s="3">
        <v>0</v>
      </c>
    </row>
    <row r="251" spans="1:6" x14ac:dyDescent="0.25">
      <c r="A251" s="4" t="s">
        <v>558</v>
      </c>
      <c r="B251" s="4" t="s">
        <v>171</v>
      </c>
      <c r="C251" s="4"/>
      <c r="D251" s="7">
        <v>45306</v>
      </c>
      <c r="E251" s="5">
        <v>425000</v>
      </c>
      <c r="F251" s="5">
        <f>ROUND(F250+E251,5)</f>
        <v>425000</v>
      </c>
    </row>
    <row r="252" spans="1:6" x14ac:dyDescent="0.25">
      <c r="A252" s="4" t="s">
        <v>558</v>
      </c>
      <c r="B252" s="4" t="s">
        <v>170</v>
      </c>
      <c r="C252" s="4"/>
      <c r="D252" s="7">
        <v>45306</v>
      </c>
      <c r="E252" s="5">
        <v>-25000</v>
      </c>
      <c r="F252" s="5">
        <f>ROUND(F251+E252,5)</f>
        <v>400000</v>
      </c>
    </row>
    <row r="253" spans="1:6" x14ac:dyDescent="0.25">
      <c r="A253" s="4" t="s">
        <v>558</v>
      </c>
      <c r="B253" s="4" t="s">
        <v>170</v>
      </c>
      <c r="C253" s="4"/>
      <c r="D253" s="7">
        <v>45331</v>
      </c>
      <c r="E253" s="5">
        <v>-200000</v>
      </c>
      <c r="F253" s="5">
        <f>ROUND(F252+E253,5)</f>
        <v>200000</v>
      </c>
    </row>
    <row r="254" spans="1:6" ht="15.75" thickBot="1" x14ac:dyDescent="0.3">
      <c r="A254" s="4" t="s">
        <v>558</v>
      </c>
      <c r="B254" s="4" t="s">
        <v>170</v>
      </c>
      <c r="C254" s="4"/>
      <c r="D254" s="7">
        <v>45436</v>
      </c>
      <c r="E254" s="8">
        <v>-100000</v>
      </c>
      <c r="F254" s="8">
        <f>ROUND(F253+E254,5)</f>
        <v>100000</v>
      </c>
    </row>
    <row r="255" spans="1:6" x14ac:dyDescent="0.25">
      <c r="A255" s="2" t="s">
        <v>559</v>
      </c>
      <c r="B255" s="2" t="s">
        <v>119</v>
      </c>
      <c r="C255" s="2"/>
      <c r="D255" s="6"/>
      <c r="E255" s="3"/>
      <c r="F255" s="3">
        <v>800000</v>
      </c>
    </row>
    <row r="256" spans="1:6" x14ac:dyDescent="0.25">
      <c r="A256" s="2" t="s">
        <v>560</v>
      </c>
      <c r="B256" s="2" t="s">
        <v>120</v>
      </c>
      <c r="C256" s="2"/>
      <c r="D256" s="6"/>
      <c r="E256" s="3"/>
      <c r="F256" s="3">
        <v>0</v>
      </c>
    </row>
    <row r="257" spans="1:6" x14ac:dyDescent="0.25">
      <c r="A257" s="2" t="s">
        <v>561</v>
      </c>
      <c r="B257" s="2" t="s">
        <v>121</v>
      </c>
      <c r="C257" s="2"/>
      <c r="D257" s="6"/>
      <c r="E257" s="3"/>
      <c r="F257" s="3">
        <v>-95000</v>
      </c>
    </row>
    <row r="258" spans="1:6" x14ac:dyDescent="0.25">
      <c r="A258" s="2" t="s">
        <v>562</v>
      </c>
      <c r="B258" s="2" t="s">
        <v>122</v>
      </c>
      <c r="C258" s="2"/>
      <c r="D258" s="6"/>
      <c r="E258" s="3"/>
      <c r="F258" s="3">
        <v>270000</v>
      </c>
    </row>
    <row r="259" spans="1:6" x14ac:dyDescent="0.25">
      <c r="A259" s="2" t="s">
        <v>563</v>
      </c>
      <c r="B259" s="2" t="s">
        <v>123</v>
      </c>
      <c r="C259" s="2"/>
      <c r="D259" s="6"/>
      <c r="E259" s="3"/>
      <c r="F259" s="3">
        <v>0</v>
      </c>
    </row>
    <row r="260" spans="1:6" x14ac:dyDescent="0.25">
      <c r="A260" s="2" t="s">
        <v>564</v>
      </c>
      <c r="B260" s="2" t="s">
        <v>124</v>
      </c>
      <c r="C260" s="2"/>
      <c r="D260" s="6"/>
      <c r="E260" s="3"/>
      <c r="F260" s="3">
        <v>0</v>
      </c>
    </row>
    <row r="261" spans="1:6" x14ac:dyDescent="0.25">
      <c r="A261" s="4" t="s">
        <v>564</v>
      </c>
      <c r="B261" s="4" t="s">
        <v>171</v>
      </c>
      <c r="C261" s="4"/>
      <c r="D261" s="7">
        <v>45306</v>
      </c>
      <c r="E261" s="5">
        <v>325000</v>
      </c>
      <c r="F261" s="5">
        <f>ROUND(F260+E261,5)</f>
        <v>325000</v>
      </c>
    </row>
    <row r="262" spans="1:6" x14ac:dyDescent="0.25">
      <c r="A262" s="4" t="s">
        <v>564</v>
      </c>
      <c r="B262" s="4" t="s">
        <v>170</v>
      </c>
      <c r="C262" s="4"/>
      <c r="D262" s="7">
        <v>45308</v>
      </c>
      <c r="E262" s="5">
        <v>-25000</v>
      </c>
      <c r="F262" s="5">
        <f>ROUND(F261+E262,5)</f>
        <v>300000</v>
      </c>
    </row>
    <row r="263" spans="1:6" x14ac:dyDescent="0.25">
      <c r="A263" s="4" t="s">
        <v>564</v>
      </c>
      <c r="B263" s="4" t="s">
        <v>170</v>
      </c>
      <c r="C263" s="4"/>
      <c r="D263" s="7">
        <v>45321</v>
      </c>
      <c r="E263" s="5">
        <v>-200000</v>
      </c>
      <c r="F263" s="5">
        <f>ROUND(F262+E263,5)</f>
        <v>100000</v>
      </c>
    </row>
    <row r="264" spans="1:6" ht="15.75" thickBot="1" x14ac:dyDescent="0.3">
      <c r="A264" s="4" t="s">
        <v>564</v>
      </c>
      <c r="B264" s="4" t="s">
        <v>170</v>
      </c>
      <c r="C264" s="4"/>
      <c r="D264" s="7">
        <v>45436</v>
      </c>
      <c r="E264" s="8">
        <v>-200000</v>
      </c>
      <c r="F264" s="8">
        <f>ROUND(F263+E264,5)</f>
        <v>-100000</v>
      </c>
    </row>
    <row r="265" spans="1:6" x14ac:dyDescent="0.25">
      <c r="A265" s="2" t="s">
        <v>565</v>
      </c>
      <c r="B265" s="2" t="s">
        <v>125</v>
      </c>
      <c r="C265" s="2"/>
      <c r="D265" s="6"/>
      <c r="E265" s="3"/>
      <c r="F265" s="3">
        <v>330500</v>
      </c>
    </row>
    <row r="266" spans="1:6" x14ac:dyDescent="0.25">
      <c r="A266" s="2" t="s">
        <v>566</v>
      </c>
      <c r="B266" s="2" t="s">
        <v>126</v>
      </c>
      <c r="C266" s="2"/>
      <c r="D266" s="6"/>
      <c r="E266" s="3"/>
      <c r="F266" s="3">
        <v>0</v>
      </c>
    </row>
    <row r="267" spans="1:6" x14ac:dyDescent="0.25">
      <c r="A267" s="4" t="s">
        <v>566</v>
      </c>
      <c r="B267" s="4" t="s">
        <v>171</v>
      </c>
      <c r="C267" s="4"/>
      <c r="D267" s="7">
        <v>45306</v>
      </c>
      <c r="E267" s="5">
        <v>300000</v>
      </c>
      <c r="F267" s="5">
        <f>ROUND(F266+E267,5)</f>
        <v>300000</v>
      </c>
    </row>
    <row r="268" spans="1:6" ht="15.75" thickBot="1" x14ac:dyDescent="0.3">
      <c r="A268" s="4" t="s">
        <v>566</v>
      </c>
      <c r="B268" s="4" t="s">
        <v>170</v>
      </c>
      <c r="C268" s="4"/>
      <c r="D268" s="7">
        <v>45355</v>
      </c>
      <c r="E268" s="8">
        <v>-600000</v>
      </c>
      <c r="F268" s="8">
        <f>ROUND(F267+E268,5)</f>
        <v>-300000</v>
      </c>
    </row>
    <row r="269" spans="1:6" x14ac:dyDescent="0.25">
      <c r="A269" s="2" t="s">
        <v>567</v>
      </c>
      <c r="B269" s="2" t="s">
        <v>127</v>
      </c>
      <c r="C269" s="2"/>
      <c r="D269" s="6"/>
      <c r="E269" s="3"/>
      <c r="F269" s="3">
        <v>0</v>
      </c>
    </row>
    <row r="270" spans="1:6" ht="15.75" thickBot="1" x14ac:dyDescent="0.3">
      <c r="A270" s="1" t="s">
        <v>567</v>
      </c>
      <c r="B270" s="4" t="s">
        <v>171</v>
      </c>
      <c r="C270" s="4"/>
      <c r="D270" s="7">
        <v>45306</v>
      </c>
      <c r="E270" s="8">
        <v>325000</v>
      </c>
      <c r="F270" s="8">
        <f>ROUND(F269+E270,5)</f>
        <v>325000</v>
      </c>
    </row>
    <row r="271" spans="1:6" x14ac:dyDescent="0.25">
      <c r="A271" s="2" t="s">
        <v>568</v>
      </c>
      <c r="B271" s="2" t="s">
        <v>128</v>
      </c>
      <c r="C271" s="2"/>
      <c r="D271" s="6"/>
      <c r="E271" s="3"/>
      <c r="F271" s="3">
        <v>0</v>
      </c>
    </row>
    <row r="272" spans="1:6" x14ac:dyDescent="0.25">
      <c r="A272" s="2" t="s">
        <v>569</v>
      </c>
      <c r="B272" s="2" t="s">
        <v>129</v>
      </c>
      <c r="C272" s="2"/>
      <c r="D272" s="6"/>
      <c r="E272" s="3"/>
      <c r="F272" s="3">
        <v>65000</v>
      </c>
    </row>
    <row r="273" spans="1:6" ht="15.75" thickBot="1" x14ac:dyDescent="0.3">
      <c r="A273" s="1" t="s">
        <v>569</v>
      </c>
      <c r="B273" s="4" t="s">
        <v>170</v>
      </c>
      <c r="C273" s="4"/>
      <c r="D273" s="7">
        <v>45408</v>
      </c>
      <c r="E273" s="8">
        <v>-65000</v>
      </c>
      <c r="F273" s="8">
        <f>ROUND(F272+E273,5)</f>
        <v>0</v>
      </c>
    </row>
    <row r="274" spans="1:6" x14ac:dyDescent="0.25">
      <c r="A274" s="2" t="s">
        <v>570</v>
      </c>
      <c r="B274" s="2" t="s">
        <v>130</v>
      </c>
      <c r="C274" s="2"/>
      <c r="D274" s="6"/>
      <c r="E274" s="3"/>
      <c r="F274" s="3">
        <v>65000</v>
      </c>
    </row>
    <row r="275" spans="1:6" ht="15.75" thickBot="1" x14ac:dyDescent="0.3">
      <c r="A275" s="1" t="s">
        <v>570</v>
      </c>
      <c r="B275" s="4" t="s">
        <v>170</v>
      </c>
      <c r="C275" s="4"/>
      <c r="D275" s="7">
        <v>45370</v>
      </c>
      <c r="E275" s="8">
        <v>-65000</v>
      </c>
      <c r="F275" s="8">
        <f>ROUND(F274+E275,5)</f>
        <v>0</v>
      </c>
    </row>
    <row r="276" spans="1:6" x14ac:dyDescent="0.25">
      <c r="A276" s="2" t="s">
        <v>571</v>
      </c>
      <c r="B276" s="2" t="s">
        <v>131</v>
      </c>
      <c r="C276" s="2"/>
      <c r="D276" s="6"/>
      <c r="E276" s="3"/>
      <c r="F276" s="3">
        <v>1565000</v>
      </c>
    </row>
    <row r="277" spans="1:6" ht="15.75" thickBot="1" x14ac:dyDescent="0.3">
      <c r="A277" s="1" t="s">
        <v>571</v>
      </c>
      <c r="B277" s="4" t="s">
        <v>170</v>
      </c>
      <c r="C277" s="4"/>
      <c r="D277" s="7">
        <v>45370</v>
      </c>
      <c r="E277" s="8">
        <v>-600000</v>
      </c>
      <c r="F277" s="8">
        <f>ROUND(F276+E277,5)</f>
        <v>965000</v>
      </c>
    </row>
    <row r="278" spans="1:6" x14ac:dyDescent="0.25">
      <c r="A278" s="2" t="s">
        <v>572</v>
      </c>
      <c r="B278" s="2" t="s">
        <v>132</v>
      </c>
      <c r="C278" s="2"/>
      <c r="D278" s="6"/>
      <c r="E278" s="3"/>
      <c r="F278" s="3">
        <v>300000</v>
      </c>
    </row>
    <row r="279" spans="1:6" ht="15.75" thickBot="1" x14ac:dyDescent="0.3">
      <c r="A279" s="1" t="s">
        <v>572</v>
      </c>
      <c r="B279" s="4" t="s">
        <v>171</v>
      </c>
      <c r="C279" s="4"/>
      <c r="D279" s="7">
        <v>45322</v>
      </c>
      <c r="E279" s="8">
        <v>300000</v>
      </c>
      <c r="F279" s="8">
        <f>ROUND(F278+E279,5)</f>
        <v>600000</v>
      </c>
    </row>
    <row r="280" spans="1:6" x14ac:dyDescent="0.25">
      <c r="A280" s="2" t="s">
        <v>573</v>
      </c>
      <c r="B280" s="2" t="s">
        <v>133</v>
      </c>
      <c r="C280" s="2"/>
      <c r="D280" s="6"/>
      <c r="E280" s="3"/>
      <c r="F280" s="3">
        <v>0</v>
      </c>
    </row>
    <row r="281" spans="1:6" x14ac:dyDescent="0.25">
      <c r="A281" s="2" t="s">
        <v>574</v>
      </c>
      <c r="B281" s="2" t="s">
        <v>134</v>
      </c>
      <c r="C281" s="2"/>
      <c r="D281" s="6"/>
      <c r="E281" s="3"/>
      <c r="F281" s="3">
        <v>1350000</v>
      </c>
    </row>
    <row r="282" spans="1:6" x14ac:dyDescent="0.25">
      <c r="A282" s="2" t="s">
        <v>575</v>
      </c>
      <c r="B282" s="2" t="s">
        <v>135</v>
      </c>
      <c r="C282" s="2"/>
      <c r="D282" s="6"/>
      <c r="E282" s="3"/>
      <c r="F282" s="3">
        <v>65000</v>
      </c>
    </row>
    <row r="283" spans="1:6" ht="15.75" thickBot="1" x14ac:dyDescent="0.3">
      <c r="A283" s="1" t="s">
        <v>575</v>
      </c>
      <c r="B283" s="4" t="s">
        <v>170</v>
      </c>
      <c r="C283" s="4"/>
      <c r="D283" s="7">
        <v>45306</v>
      </c>
      <c r="E283" s="8">
        <v>-65000</v>
      </c>
      <c r="F283" s="8">
        <f>ROUND(F282+E283,5)</f>
        <v>0</v>
      </c>
    </row>
    <row r="284" spans="1:6" x14ac:dyDescent="0.25">
      <c r="A284" s="2" t="s">
        <v>576</v>
      </c>
      <c r="B284" s="2" t="s">
        <v>136</v>
      </c>
      <c r="C284" s="2"/>
      <c r="D284" s="6"/>
      <c r="E284" s="3"/>
      <c r="F284" s="3">
        <v>600000</v>
      </c>
    </row>
    <row r="285" spans="1:6" x14ac:dyDescent="0.25">
      <c r="A285" s="2" t="s">
        <v>577</v>
      </c>
      <c r="B285" s="2" t="s">
        <v>137</v>
      </c>
      <c r="C285" s="2"/>
      <c r="D285" s="6"/>
      <c r="E285" s="3"/>
      <c r="F285" s="3">
        <v>0</v>
      </c>
    </row>
    <row r="286" spans="1:6" x14ac:dyDescent="0.25">
      <c r="A286" s="2" t="s">
        <v>578</v>
      </c>
      <c r="B286" s="2" t="s">
        <v>138</v>
      </c>
      <c r="C286" s="2"/>
      <c r="D286" s="6"/>
      <c r="E286" s="3"/>
      <c r="F286" s="3">
        <v>0</v>
      </c>
    </row>
    <row r="287" spans="1:6" x14ac:dyDescent="0.25">
      <c r="A287" s="4" t="s">
        <v>578</v>
      </c>
      <c r="B287" s="4" t="s">
        <v>171</v>
      </c>
      <c r="C287" s="4"/>
      <c r="D287" s="7">
        <v>45306</v>
      </c>
      <c r="E287" s="5">
        <v>300000</v>
      </c>
      <c r="F287" s="5">
        <f>ROUND(F286+E287,5)</f>
        <v>300000</v>
      </c>
    </row>
    <row r="288" spans="1:6" x14ac:dyDescent="0.25">
      <c r="A288" s="4" t="s">
        <v>578</v>
      </c>
      <c r="B288" s="4" t="s">
        <v>170</v>
      </c>
      <c r="C288" s="4"/>
      <c r="D288" s="7">
        <v>45371</v>
      </c>
      <c r="E288" s="5">
        <v>-200000</v>
      </c>
      <c r="F288" s="5">
        <f>ROUND(F287+E288,5)</f>
        <v>100000</v>
      </c>
    </row>
    <row r="289" spans="1:6" ht="15.75" thickBot="1" x14ac:dyDescent="0.3">
      <c r="A289" s="4" t="s">
        <v>578</v>
      </c>
      <c r="B289" s="4" t="s">
        <v>170</v>
      </c>
      <c r="C289" s="4"/>
      <c r="D289" s="7">
        <v>45433</v>
      </c>
      <c r="E289" s="8">
        <v>-100000</v>
      </c>
      <c r="F289" s="8">
        <f>ROUND(F288+E289,5)</f>
        <v>0</v>
      </c>
    </row>
    <row r="290" spans="1:6" x14ac:dyDescent="0.25">
      <c r="A290" s="2" t="s">
        <v>568</v>
      </c>
      <c r="B290" s="2" t="s">
        <v>139</v>
      </c>
      <c r="C290" s="2"/>
      <c r="D290" s="6"/>
      <c r="E290" s="3"/>
      <c r="F290" s="3">
        <v>-500</v>
      </c>
    </row>
    <row r="291" spans="1:6" x14ac:dyDescent="0.25">
      <c r="A291" s="2" t="s">
        <v>579</v>
      </c>
      <c r="B291" s="2" t="s">
        <v>140</v>
      </c>
      <c r="C291" s="2"/>
      <c r="D291" s="6"/>
      <c r="E291" s="3"/>
      <c r="F291" s="3">
        <v>0</v>
      </c>
    </row>
    <row r="292" spans="1:6" ht="15.75" thickBot="1" x14ac:dyDescent="0.3">
      <c r="A292" s="1" t="s">
        <v>579</v>
      </c>
      <c r="B292" s="4" t="s">
        <v>171</v>
      </c>
      <c r="C292" s="4"/>
      <c r="D292" s="7">
        <v>45306</v>
      </c>
      <c r="E292" s="8">
        <v>425000</v>
      </c>
      <c r="F292" s="8">
        <f>ROUND(F291+E292,5)</f>
        <v>425000</v>
      </c>
    </row>
    <row r="293" spans="1:6" x14ac:dyDescent="0.25">
      <c r="A293" s="2" t="s">
        <v>580</v>
      </c>
      <c r="B293" s="2" t="s">
        <v>141</v>
      </c>
      <c r="C293" s="2"/>
      <c r="D293" s="6"/>
      <c r="E293" s="3"/>
      <c r="F293" s="3">
        <v>0</v>
      </c>
    </row>
    <row r="294" spans="1:6" x14ac:dyDescent="0.25">
      <c r="A294" s="4" t="s">
        <v>580</v>
      </c>
      <c r="B294" s="4" t="s">
        <v>171</v>
      </c>
      <c r="C294" s="4"/>
      <c r="D294" s="7">
        <v>45306</v>
      </c>
      <c r="E294" s="5">
        <v>325000</v>
      </c>
      <c r="F294" s="5">
        <f>ROUND(F293+E294,5)</f>
        <v>325000</v>
      </c>
    </row>
    <row r="295" spans="1:6" x14ac:dyDescent="0.25">
      <c r="A295" s="4" t="s">
        <v>580</v>
      </c>
      <c r="B295" s="4" t="s">
        <v>173</v>
      </c>
      <c r="C295" s="4"/>
      <c r="D295" s="7">
        <v>45344</v>
      </c>
      <c r="E295" s="5">
        <v>-25000</v>
      </c>
      <c r="F295" s="5">
        <f>ROUND(F294+E295,5)</f>
        <v>300000</v>
      </c>
    </row>
    <row r="296" spans="1:6" x14ac:dyDescent="0.25">
      <c r="A296" s="4" t="s">
        <v>580</v>
      </c>
      <c r="B296" s="4" t="s">
        <v>170</v>
      </c>
      <c r="C296" s="4"/>
      <c r="D296" s="7">
        <v>45372</v>
      </c>
      <c r="E296" s="5">
        <v>-100000</v>
      </c>
      <c r="F296" s="5">
        <f>ROUND(F295+E296,5)</f>
        <v>200000</v>
      </c>
    </row>
    <row r="297" spans="1:6" x14ac:dyDescent="0.25">
      <c r="A297" s="4" t="s">
        <v>580</v>
      </c>
      <c r="B297" s="4" t="s">
        <v>170</v>
      </c>
      <c r="C297" s="4"/>
      <c r="D297" s="7">
        <v>45406</v>
      </c>
      <c r="E297" s="5">
        <v>-100000</v>
      </c>
      <c r="F297" s="5">
        <f>ROUND(F296+E297,5)</f>
        <v>100000</v>
      </c>
    </row>
    <row r="298" spans="1:6" ht="15.75" thickBot="1" x14ac:dyDescent="0.3">
      <c r="A298" s="4" t="s">
        <v>580</v>
      </c>
      <c r="B298" s="4" t="s">
        <v>170</v>
      </c>
      <c r="C298" s="4"/>
      <c r="D298" s="7">
        <v>45434</v>
      </c>
      <c r="E298" s="8">
        <v>-100000</v>
      </c>
      <c r="F298" s="8">
        <f>ROUND(F297+E298,5)</f>
        <v>0</v>
      </c>
    </row>
    <row r="299" spans="1:6" x14ac:dyDescent="0.25">
      <c r="A299" s="2" t="s">
        <v>581</v>
      </c>
      <c r="B299" s="2" t="s">
        <v>142</v>
      </c>
      <c r="C299" s="2"/>
      <c r="D299" s="6"/>
      <c r="E299" s="3"/>
      <c r="F299" s="3">
        <v>0</v>
      </c>
    </row>
    <row r="300" spans="1:6" x14ac:dyDescent="0.25">
      <c r="A300" s="2" t="s">
        <v>582</v>
      </c>
      <c r="B300" s="2" t="s">
        <v>143</v>
      </c>
      <c r="C300" s="2"/>
      <c r="D300" s="6"/>
      <c r="E300" s="3"/>
      <c r="F300" s="3">
        <v>0</v>
      </c>
    </row>
    <row r="301" spans="1:6" x14ac:dyDescent="0.25">
      <c r="A301" s="2" t="s">
        <v>583</v>
      </c>
      <c r="B301" s="2" t="s">
        <v>144</v>
      </c>
      <c r="C301" s="2"/>
      <c r="D301" s="6"/>
      <c r="E301" s="3"/>
      <c r="F301" s="3">
        <v>600005</v>
      </c>
    </row>
    <row r="302" spans="1:6" x14ac:dyDescent="0.25">
      <c r="A302" s="2" t="s">
        <v>584</v>
      </c>
      <c r="B302" s="2" t="s">
        <v>145</v>
      </c>
      <c r="C302" s="2"/>
      <c r="D302" s="6"/>
      <c r="E302" s="3"/>
      <c r="F302" s="3">
        <v>5000</v>
      </c>
    </row>
    <row r="303" spans="1:6" x14ac:dyDescent="0.25">
      <c r="A303" s="4" t="s">
        <v>584</v>
      </c>
      <c r="B303" s="4" t="s">
        <v>171</v>
      </c>
      <c r="C303" s="4"/>
      <c r="D303" s="7">
        <v>45306</v>
      </c>
      <c r="E303" s="5">
        <v>300000</v>
      </c>
      <c r="F303" s="5">
        <f>ROUND(F302+E303,5)</f>
        <v>305000</v>
      </c>
    </row>
    <row r="304" spans="1:6" ht="15.75" thickBot="1" x14ac:dyDescent="0.3">
      <c r="A304" s="4" t="s">
        <v>584</v>
      </c>
      <c r="B304" s="4" t="s">
        <v>170</v>
      </c>
      <c r="C304" s="4"/>
      <c r="D304" s="7">
        <v>45342</v>
      </c>
      <c r="E304" s="8">
        <v>-300000</v>
      </c>
      <c r="F304" s="8">
        <f>ROUND(F303+E304,5)</f>
        <v>5000</v>
      </c>
    </row>
    <row r="305" spans="1:6" x14ac:dyDescent="0.25">
      <c r="A305" s="2" t="s">
        <v>585</v>
      </c>
      <c r="B305" s="2" t="s">
        <v>146</v>
      </c>
      <c r="C305" s="2"/>
      <c r="D305" s="6"/>
      <c r="E305" s="3"/>
      <c r="F305" s="3">
        <v>25000</v>
      </c>
    </row>
    <row r="306" spans="1:6" x14ac:dyDescent="0.25">
      <c r="A306" s="4" t="s">
        <v>585</v>
      </c>
      <c r="B306" s="4" t="s">
        <v>171</v>
      </c>
      <c r="C306" s="4"/>
      <c r="D306" s="7">
        <v>45322</v>
      </c>
      <c r="E306" s="5">
        <v>65000</v>
      </c>
      <c r="F306" s="5">
        <f>ROUND(F305+E306,5)</f>
        <v>90000</v>
      </c>
    </row>
    <row r="307" spans="1:6" ht="15.75" thickBot="1" x14ac:dyDescent="0.3">
      <c r="A307" s="4" t="s">
        <v>585</v>
      </c>
      <c r="B307" s="4" t="s">
        <v>170</v>
      </c>
      <c r="C307" s="4"/>
      <c r="D307" s="7">
        <v>45350</v>
      </c>
      <c r="E307" s="8">
        <v>-65000</v>
      </c>
      <c r="F307" s="8">
        <f>ROUND(F306+E307,5)</f>
        <v>25000</v>
      </c>
    </row>
    <row r="308" spans="1:6" x14ac:dyDescent="0.25">
      <c r="A308" s="2" t="s">
        <v>586</v>
      </c>
      <c r="B308" s="2" t="s">
        <v>147</v>
      </c>
      <c r="C308" s="2"/>
      <c r="D308" s="6"/>
      <c r="E308" s="3"/>
      <c r="F308" s="3">
        <v>0</v>
      </c>
    </row>
    <row r="309" spans="1:6" x14ac:dyDescent="0.25">
      <c r="A309" s="4" t="s">
        <v>586</v>
      </c>
      <c r="B309" s="4" t="s">
        <v>171</v>
      </c>
      <c r="C309" s="4"/>
      <c r="D309" s="7">
        <v>45306</v>
      </c>
      <c r="E309" s="5">
        <v>2000000</v>
      </c>
      <c r="F309" s="5">
        <f>ROUND(F308+E309,5)</f>
        <v>2000000</v>
      </c>
    </row>
    <row r="310" spans="1:6" ht="15.75" thickBot="1" x14ac:dyDescent="0.3">
      <c r="A310" s="4" t="s">
        <v>586</v>
      </c>
      <c r="B310" s="4" t="s">
        <v>170</v>
      </c>
      <c r="C310" s="4"/>
      <c r="D310" s="7">
        <v>45317</v>
      </c>
      <c r="E310" s="8">
        <v>-2000000</v>
      </c>
      <c r="F310" s="8">
        <f>ROUND(F309+E310,5)</f>
        <v>0</v>
      </c>
    </row>
    <row r="311" spans="1:6" x14ac:dyDescent="0.25">
      <c r="A311" s="2" t="s">
        <v>587</v>
      </c>
      <c r="B311" s="2" t="s">
        <v>148</v>
      </c>
      <c r="C311" s="2"/>
      <c r="D311" s="6"/>
      <c r="E311" s="3"/>
      <c r="F311" s="3">
        <v>65000</v>
      </c>
    </row>
    <row r="312" spans="1:6" ht="15.75" thickBot="1" x14ac:dyDescent="0.3">
      <c r="A312" s="1" t="s">
        <v>587</v>
      </c>
      <c r="B312" s="4" t="s">
        <v>170</v>
      </c>
      <c r="C312" s="4"/>
      <c r="D312" s="7">
        <v>45355</v>
      </c>
      <c r="E312" s="8">
        <v>-65000</v>
      </c>
      <c r="F312" s="8">
        <f>ROUND(F311+E312,5)</f>
        <v>0</v>
      </c>
    </row>
    <row r="313" spans="1:6" x14ac:dyDescent="0.25">
      <c r="A313" s="2" t="s">
        <v>587</v>
      </c>
      <c r="B313" s="2" t="s">
        <v>149</v>
      </c>
      <c r="C313" s="2"/>
      <c r="D313" s="6"/>
      <c r="E313" s="3"/>
      <c r="F313" s="3">
        <v>0</v>
      </c>
    </row>
    <row r="314" spans="1:6" x14ac:dyDescent="0.25">
      <c r="A314" s="2" t="s">
        <v>588</v>
      </c>
      <c r="B314" s="2" t="s">
        <v>150</v>
      </c>
      <c r="C314" s="2"/>
      <c r="D314" s="6"/>
      <c r="E314" s="3"/>
      <c r="F314" s="3">
        <v>400000</v>
      </c>
    </row>
    <row r="315" spans="1:6" ht="15.75" thickBot="1" x14ac:dyDescent="0.3">
      <c r="A315" s="1" t="s">
        <v>588</v>
      </c>
      <c r="B315" s="4" t="s">
        <v>171</v>
      </c>
      <c r="C315" s="4"/>
      <c r="D315" s="7">
        <v>45322</v>
      </c>
      <c r="E315" s="8">
        <v>400000</v>
      </c>
      <c r="F315" s="8">
        <f>ROUND(F314+E315,5)</f>
        <v>800000</v>
      </c>
    </row>
    <row r="316" spans="1:6" x14ac:dyDescent="0.25">
      <c r="A316" s="2" t="s">
        <v>588</v>
      </c>
      <c r="B316" s="2" t="s">
        <v>151</v>
      </c>
      <c r="C316" s="2"/>
      <c r="D316" s="6"/>
      <c r="E316" s="3"/>
      <c r="F316" s="3">
        <v>400000</v>
      </c>
    </row>
    <row r="317" spans="1:6" x14ac:dyDescent="0.25">
      <c r="A317" s="2" t="s">
        <v>589</v>
      </c>
      <c r="B317" s="2" t="s">
        <v>152</v>
      </c>
      <c r="C317" s="2"/>
      <c r="D317" s="6"/>
      <c r="E317" s="3"/>
      <c r="F317" s="3">
        <v>0</v>
      </c>
    </row>
    <row r="318" spans="1:6" x14ac:dyDescent="0.25">
      <c r="A318" s="2" t="s">
        <v>590</v>
      </c>
      <c r="B318" s="2" t="s">
        <v>153</v>
      </c>
      <c r="C318" s="2"/>
      <c r="D318" s="6"/>
      <c r="E318" s="3"/>
      <c r="F318" s="3">
        <v>0</v>
      </c>
    </row>
    <row r="319" spans="1:6" x14ac:dyDescent="0.25">
      <c r="A319" s="2" t="s">
        <v>591</v>
      </c>
      <c r="B319" s="2" t="s">
        <v>154</v>
      </c>
      <c r="C319" s="2"/>
      <c r="D319" s="6"/>
      <c r="E319" s="3"/>
      <c r="F319" s="3">
        <v>900000</v>
      </c>
    </row>
    <row r="320" spans="1:6" x14ac:dyDescent="0.25">
      <c r="A320" s="2" t="s">
        <v>592</v>
      </c>
      <c r="B320" s="2" t="s">
        <v>155</v>
      </c>
      <c r="C320" s="2"/>
      <c r="D320" s="6"/>
      <c r="E320" s="3"/>
      <c r="F320" s="3">
        <v>0</v>
      </c>
    </row>
    <row r="321" spans="1:6" x14ac:dyDescent="0.25">
      <c r="A321" s="2" t="s">
        <v>593</v>
      </c>
      <c r="B321" s="2" t="s">
        <v>156</v>
      </c>
      <c r="C321" s="2"/>
      <c r="D321" s="6"/>
      <c r="E321" s="3"/>
      <c r="F321" s="3">
        <v>0</v>
      </c>
    </row>
    <row r="322" spans="1:6" x14ac:dyDescent="0.25">
      <c r="A322" s="2" t="s">
        <v>594</v>
      </c>
      <c r="B322" s="2" t="s">
        <v>157</v>
      </c>
      <c r="C322" s="2"/>
      <c r="D322" s="6"/>
      <c r="E322" s="3"/>
      <c r="F322" s="3">
        <v>0</v>
      </c>
    </row>
    <row r="323" spans="1:6" x14ac:dyDescent="0.25">
      <c r="A323" s="4" t="s">
        <v>594</v>
      </c>
      <c r="B323" s="4" t="s">
        <v>171</v>
      </c>
      <c r="C323" s="4"/>
      <c r="D323" s="7">
        <v>45306</v>
      </c>
      <c r="E323" s="5">
        <v>425000</v>
      </c>
      <c r="F323" s="5">
        <f>ROUND(F322+E323,5)</f>
        <v>425000</v>
      </c>
    </row>
    <row r="324" spans="1:6" x14ac:dyDescent="0.25">
      <c r="A324" s="4" t="s">
        <v>594</v>
      </c>
      <c r="B324" s="4" t="s">
        <v>170</v>
      </c>
      <c r="C324" s="4"/>
      <c r="D324" s="7">
        <v>45306</v>
      </c>
      <c r="E324" s="5">
        <v>-25000</v>
      </c>
      <c r="F324" s="5">
        <f>ROUND(F323+E324,5)</f>
        <v>400000</v>
      </c>
    </row>
    <row r="325" spans="1:6" x14ac:dyDescent="0.25">
      <c r="A325" s="4" t="s">
        <v>594</v>
      </c>
      <c r="B325" s="4" t="s">
        <v>170</v>
      </c>
      <c r="C325" s="4"/>
      <c r="D325" s="7">
        <v>45339</v>
      </c>
      <c r="E325" s="5">
        <v>-200000</v>
      </c>
      <c r="F325" s="5">
        <f>ROUND(F324+E325,5)</f>
        <v>200000</v>
      </c>
    </row>
    <row r="326" spans="1:6" ht="15.75" thickBot="1" x14ac:dyDescent="0.3">
      <c r="A326" s="4" t="s">
        <v>594</v>
      </c>
      <c r="B326" s="4" t="s">
        <v>170</v>
      </c>
      <c r="C326" s="4"/>
      <c r="D326" s="7">
        <v>45408</v>
      </c>
      <c r="E326" s="8">
        <v>-200000</v>
      </c>
      <c r="F326" s="8">
        <f>ROUND(F325+E326,5)</f>
        <v>0</v>
      </c>
    </row>
    <row r="327" spans="1:6" x14ac:dyDescent="0.25">
      <c r="A327" s="2" t="s">
        <v>595</v>
      </c>
      <c r="B327" s="2" t="s">
        <v>158</v>
      </c>
      <c r="C327" s="2"/>
      <c r="D327" s="6"/>
      <c r="E327" s="3"/>
      <c r="F327" s="3">
        <v>-300</v>
      </c>
    </row>
    <row r="328" spans="1:6" x14ac:dyDescent="0.25">
      <c r="A328" s="2" t="s">
        <v>596</v>
      </c>
      <c r="B328" s="2" t="s">
        <v>159</v>
      </c>
      <c r="C328" s="2"/>
      <c r="D328" s="6"/>
      <c r="E328" s="3"/>
      <c r="F328" s="3">
        <v>-59400</v>
      </c>
    </row>
    <row r="329" spans="1:6" x14ac:dyDescent="0.25">
      <c r="A329" s="2" t="s">
        <v>597</v>
      </c>
      <c r="B329" s="2" t="s">
        <v>160</v>
      </c>
      <c r="C329" s="2"/>
      <c r="D329" s="6"/>
      <c r="E329" s="3"/>
      <c r="F329" s="3">
        <v>65000</v>
      </c>
    </row>
    <row r="330" spans="1:6" ht="15.75" thickBot="1" x14ac:dyDescent="0.3">
      <c r="A330" s="1" t="s">
        <v>597</v>
      </c>
      <c r="B330" s="4" t="s">
        <v>170</v>
      </c>
      <c r="C330" s="4"/>
      <c r="D330" s="7">
        <v>45301</v>
      </c>
      <c r="E330" s="8">
        <v>-65000</v>
      </c>
      <c r="F330" s="8">
        <f>ROUND(F329+E330,5)</f>
        <v>0</v>
      </c>
    </row>
    <row r="331" spans="1:6" x14ac:dyDescent="0.25">
      <c r="A331" s="2" t="s">
        <v>598</v>
      </c>
      <c r="B331" s="2" t="s">
        <v>161</v>
      </c>
      <c r="C331" s="2"/>
      <c r="D331" s="6"/>
      <c r="E331" s="3"/>
      <c r="F331" s="3">
        <v>0</v>
      </c>
    </row>
    <row r="332" spans="1:6" x14ac:dyDescent="0.25">
      <c r="A332" s="4" t="s">
        <v>598</v>
      </c>
      <c r="B332" s="4" t="s">
        <v>171</v>
      </c>
      <c r="C332" s="4"/>
      <c r="D332" s="7">
        <v>45306</v>
      </c>
      <c r="E332" s="5">
        <v>300000</v>
      </c>
      <c r="F332" s="5">
        <f>ROUND(F331+E332,5)</f>
        <v>300000</v>
      </c>
    </row>
    <row r="333" spans="1:6" ht="15.75" thickBot="1" x14ac:dyDescent="0.3">
      <c r="A333" s="4" t="s">
        <v>598</v>
      </c>
      <c r="B333" s="4" t="s">
        <v>170</v>
      </c>
      <c r="C333" s="4"/>
      <c r="D333" s="7">
        <v>45371</v>
      </c>
      <c r="E333" s="8">
        <v>-300000</v>
      </c>
      <c r="F333" s="8">
        <f>ROUND(F332+E333,5)</f>
        <v>0</v>
      </c>
    </row>
    <row r="334" spans="1:6" x14ac:dyDescent="0.25">
      <c r="A334" s="2" t="s">
        <v>599</v>
      </c>
      <c r="B334" s="2" t="s">
        <v>162</v>
      </c>
      <c r="C334" s="2"/>
      <c r="D334" s="6"/>
      <c r="E334" s="3"/>
      <c r="F334" s="3">
        <v>0</v>
      </c>
    </row>
    <row r="335" spans="1:6" x14ac:dyDescent="0.25">
      <c r="A335" s="4" t="s">
        <v>599</v>
      </c>
      <c r="B335" s="4" t="s">
        <v>170</v>
      </c>
      <c r="C335" s="4"/>
      <c r="D335" s="7">
        <v>45300</v>
      </c>
      <c r="E335" s="5">
        <v>-25000</v>
      </c>
      <c r="F335" s="5">
        <f>ROUND(F334+E335,5)</f>
        <v>-25000</v>
      </c>
    </row>
    <row r="336" spans="1:6" x14ac:dyDescent="0.25">
      <c r="A336" s="4" t="s">
        <v>599</v>
      </c>
      <c r="B336" s="4" t="s">
        <v>171</v>
      </c>
      <c r="C336" s="4"/>
      <c r="D336" s="7">
        <v>45306</v>
      </c>
      <c r="E336" s="5">
        <v>425000</v>
      </c>
      <c r="F336" s="5">
        <f>ROUND(F335+E336,5)</f>
        <v>400000</v>
      </c>
    </row>
    <row r="337" spans="1:6" ht="15.75" thickBot="1" x14ac:dyDescent="0.3">
      <c r="A337" s="4" t="s">
        <v>599</v>
      </c>
      <c r="B337" s="4" t="s">
        <v>170</v>
      </c>
      <c r="C337" s="4"/>
      <c r="D337" s="7">
        <v>45339</v>
      </c>
      <c r="E337" s="8">
        <v>-400000</v>
      </c>
      <c r="F337" s="8">
        <f>ROUND(F336+E337,5)</f>
        <v>0</v>
      </c>
    </row>
    <row r="338" spans="1:6" x14ac:dyDescent="0.25">
      <c r="A338" s="2" t="s">
        <v>600</v>
      </c>
      <c r="B338" s="2" t="s">
        <v>163</v>
      </c>
      <c r="C338" s="2"/>
      <c r="D338" s="6"/>
      <c r="E338" s="3"/>
      <c r="F338" s="3">
        <v>0</v>
      </c>
    </row>
    <row r="339" spans="1:6" x14ac:dyDescent="0.25">
      <c r="A339" s="2" t="s">
        <v>601</v>
      </c>
      <c r="B339" s="2" t="s">
        <v>164</v>
      </c>
      <c r="C339" s="2"/>
      <c r="D339" s="6"/>
      <c r="E339" s="3"/>
      <c r="F339" s="3">
        <v>65000</v>
      </c>
    </row>
    <row r="340" spans="1:6" ht="15.75" thickBot="1" x14ac:dyDescent="0.3">
      <c r="A340" s="1" t="s">
        <v>601</v>
      </c>
      <c r="B340" s="4" t="s">
        <v>170</v>
      </c>
      <c r="C340" s="4"/>
      <c r="D340" s="7">
        <v>45296</v>
      </c>
      <c r="E340" s="8">
        <v>-65000</v>
      </c>
      <c r="F340" s="8">
        <f>ROUND(F339+E340,5)</f>
        <v>0</v>
      </c>
    </row>
    <row r="341" spans="1:6" x14ac:dyDescent="0.25">
      <c r="A341" s="2" t="s">
        <v>602</v>
      </c>
      <c r="B341" s="2" t="s">
        <v>165</v>
      </c>
      <c r="C341" s="2"/>
      <c r="D341" s="6"/>
      <c r="E341" s="3"/>
      <c r="F341" s="3">
        <v>0</v>
      </c>
    </row>
    <row r="342" spans="1:6" x14ac:dyDescent="0.25">
      <c r="A342" s="4" t="s">
        <v>602</v>
      </c>
      <c r="B342" s="4" t="s">
        <v>171</v>
      </c>
      <c r="C342" s="4"/>
      <c r="D342" s="7">
        <v>45306</v>
      </c>
      <c r="E342" s="5">
        <v>425000</v>
      </c>
      <c r="F342" s="5">
        <f>ROUND(F341+E342,5)</f>
        <v>425000</v>
      </c>
    </row>
    <row r="343" spans="1:6" x14ac:dyDescent="0.25">
      <c r="A343" s="4" t="s">
        <v>602</v>
      </c>
      <c r="B343" s="4" t="s">
        <v>170</v>
      </c>
      <c r="C343" s="4"/>
      <c r="D343" s="7">
        <v>45313</v>
      </c>
      <c r="E343" s="5">
        <v>-25000</v>
      </c>
      <c r="F343" s="5">
        <f>ROUND(F342+E343,5)</f>
        <v>400000</v>
      </c>
    </row>
    <row r="344" spans="1:6" ht="15.75" thickBot="1" x14ac:dyDescent="0.3">
      <c r="A344" s="4" t="s">
        <v>602</v>
      </c>
      <c r="B344" s="4" t="s">
        <v>170</v>
      </c>
      <c r="C344" s="4"/>
      <c r="D344" s="7">
        <v>45433</v>
      </c>
      <c r="E344" s="8">
        <v>-200000</v>
      </c>
      <c r="F344" s="8">
        <f>ROUND(F343+E344,5)</f>
        <v>200000</v>
      </c>
    </row>
    <row r="345" spans="1:6" x14ac:dyDescent="0.25">
      <c r="A345" s="2" t="s">
        <v>603</v>
      </c>
      <c r="B345" s="2" t="s">
        <v>166</v>
      </c>
      <c r="C345" s="2"/>
      <c r="D345" s="6"/>
      <c r="E345" s="3"/>
      <c r="F345" s="3">
        <v>0</v>
      </c>
    </row>
    <row r="346" spans="1:6" x14ac:dyDescent="0.25">
      <c r="A346" s="2" t="s">
        <v>526</v>
      </c>
      <c r="B346" s="2" t="s">
        <v>167</v>
      </c>
      <c r="C346" s="2"/>
      <c r="D346" s="6"/>
      <c r="E346" s="3"/>
      <c r="F346" s="3">
        <v>0</v>
      </c>
    </row>
    <row r="347" spans="1:6" x14ac:dyDescent="0.25">
      <c r="A347" s="2" t="s">
        <v>604</v>
      </c>
      <c r="B347" s="2" t="s">
        <v>168</v>
      </c>
      <c r="C347" s="2"/>
      <c r="D347" s="6"/>
      <c r="E347" s="3"/>
      <c r="F347" s="3">
        <v>250000</v>
      </c>
    </row>
    <row r="348" spans="1:6" ht="15.75" thickBot="1" x14ac:dyDescent="0.3">
      <c r="A348" s="1" t="s">
        <v>604</v>
      </c>
      <c r="B348" s="4" t="s">
        <v>170</v>
      </c>
      <c r="C348" s="4"/>
      <c r="D348" s="7">
        <v>45308</v>
      </c>
      <c r="E348" s="8">
        <v>-250000</v>
      </c>
      <c r="F348" s="8">
        <f>ROUND(F347+E348,5)</f>
        <v>0</v>
      </c>
    </row>
    <row r="349" spans="1:6" x14ac:dyDescent="0.25">
      <c r="A349" s="2" t="s">
        <v>605</v>
      </c>
      <c r="B349" s="2" t="s">
        <v>169</v>
      </c>
      <c r="C349" s="2"/>
      <c r="D349" s="6"/>
      <c r="E349" s="3"/>
      <c r="F349" s="3">
        <v>0</v>
      </c>
    </row>
    <row r="350" spans="1:6" ht="15.75" thickBot="1" x14ac:dyDescent="0.3">
      <c r="A350" s="1" t="s">
        <v>605</v>
      </c>
      <c r="B350" s="4" t="s">
        <v>171</v>
      </c>
      <c r="C350" s="4"/>
      <c r="D350" s="7">
        <v>45306</v>
      </c>
      <c r="E350" s="8">
        <v>425000</v>
      </c>
      <c r="F350" s="8">
        <f>ROUND(F349+E350,5)</f>
        <v>425000</v>
      </c>
    </row>
    <row r="351" spans="1:6" x14ac:dyDescent="0.25">
      <c r="A351" s="2" t="s">
        <v>606</v>
      </c>
      <c r="B351" s="2" t="s">
        <v>174</v>
      </c>
      <c r="C351" s="2"/>
      <c r="D351" s="6"/>
      <c r="E351" s="3"/>
      <c r="F351" s="3">
        <v>65000</v>
      </c>
    </row>
    <row r="352" spans="1:6" ht="15.75" thickBot="1" x14ac:dyDescent="0.3">
      <c r="A352" s="1" t="s">
        <v>606</v>
      </c>
      <c r="B352" s="4" t="s">
        <v>170</v>
      </c>
      <c r="C352" s="4"/>
      <c r="D352" s="7">
        <v>45293</v>
      </c>
      <c r="E352" s="8">
        <v>-65000</v>
      </c>
      <c r="F352" s="8">
        <f>ROUND(F351+E352,5)</f>
        <v>0</v>
      </c>
    </row>
    <row r="353" spans="1:6" x14ac:dyDescent="0.25">
      <c r="A353" s="2" t="s">
        <v>607</v>
      </c>
      <c r="B353" s="2" t="s">
        <v>175</v>
      </c>
      <c r="C353" s="2"/>
      <c r="D353" s="6"/>
      <c r="E353" s="3"/>
      <c r="F353" s="3">
        <v>0</v>
      </c>
    </row>
    <row r="354" spans="1:6" ht="15.75" thickBot="1" x14ac:dyDescent="0.3">
      <c r="A354" s="1" t="s">
        <v>607</v>
      </c>
      <c r="B354" s="4" t="s">
        <v>171</v>
      </c>
      <c r="C354" s="4"/>
      <c r="D354" s="7">
        <v>45306</v>
      </c>
      <c r="E354" s="8">
        <v>300000</v>
      </c>
      <c r="F354" s="8">
        <f>ROUND(F353+E354,5)</f>
        <v>300000</v>
      </c>
    </row>
    <row r="355" spans="1:6" x14ac:dyDescent="0.25">
      <c r="A355" s="2" t="s">
        <v>608</v>
      </c>
      <c r="B355" s="2" t="s">
        <v>176</v>
      </c>
      <c r="C355" s="2"/>
      <c r="D355" s="6"/>
      <c r="E355" s="3"/>
      <c r="F355" s="3">
        <v>145000</v>
      </c>
    </row>
    <row r="356" spans="1:6" x14ac:dyDescent="0.25">
      <c r="A356" s="4" t="s">
        <v>608</v>
      </c>
      <c r="B356" s="4" t="s">
        <v>170</v>
      </c>
      <c r="C356" s="4"/>
      <c r="D356" s="7">
        <v>45294</v>
      </c>
      <c r="E356" s="5">
        <v>-80000</v>
      </c>
      <c r="F356" s="5">
        <f>ROUND(F355+E356,5)</f>
        <v>65000</v>
      </c>
    </row>
    <row r="357" spans="1:6" ht="15.75" thickBot="1" x14ac:dyDescent="0.3">
      <c r="A357" s="4" t="s">
        <v>608</v>
      </c>
      <c r="B357" s="4" t="s">
        <v>170</v>
      </c>
      <c r="C357" s="4"/>
      <c r="D357" s="7">
        <v>45294</v>
      </c>
      <c r="E357" s="8">
        <v>-65000</v>
      </c>
      <c r="F357" s="8">
        <f>ROUND(F356+E357,5)</f>
        <v>0</v>
      </c>
    </row>
    <row r="358" spans="1:6" x14ac:dyDescent="0.25">
      <c r="A358" s="2" t="s">
        <v>609</v>
      </c>
      <c r="B358" s="2" t="s">
        <v>177</v>
      </c>
      <c r="C358" s="2"/>
      <c r="D358" s="6"/>
      <c r="E358" s="3"/>
      <c r="F358" s="3">
        <v>79951</v>
      </c>
    </row>
    <row r="359" spans="1:6" x14ac:dyDescent="0.25">
      <c r="A359" s="2" t="s">
        <v>610</v>
      </c>
      <c r="B359" s="2" t="s">
        <v>178</v>
      </c>
      <c r="C359" s="2"/>
      <c r="D359" s="6"/>
      <c r="E359" s="3"/>
      <c r="F359" s="3">
        <v>0</v>
      </c>
    </row>
    <row r="360" spans="1:6" x14ac:dyDescent="0.25">
      <c r="A360" s="2" t="s">
        <v>570</v>
      </c>
      <c r="B360" s="2" t="s">
        <v>179</v>
      </c>
      <c r="C360" s="2"/>
      <c r="D360" s="6"/>
      <c r="E360" s="3"/>
      <c r="F360" s="3">
        <v>-492</v>
      </c>
    </row>
    <row r="361" spans="1:6" x14ac:dyDescent="0.25">
      <c r="A361" s="2" t="s">
        <v>611</v>
      </c>
      <c r="B361" s="2" t="s">
        <v>180</v>
      </c>
      <c r="C361" s="2"/>
      <c r="D361" s="6"/>
      <c r="E361" s="3"/>
      <c r="F361" s="3">
        <v>0</v>
      </c>
    </row>
    <row r="362" spans="1:6" x14ac:dyDescent="0.25">
      <c r="A362" s="2" t="s">
        <v>612</v>
      </c>
      <c r="B362" s="2" t="s">
        <v>181</v>
      </c>
      <c r="C362" s="2"/>
      <c r="D362" s="6"/>
      <c r="E362" s="3"/>
      <c r="F362" s="3">
        <v>0</v>
      </c>
    </row>
    <row r="363" spans="1:6" x14ac:dyDescent="0.25">
      <c r="A363" s="4" t="s">
        <v>612</v>
      </c>
      <c r="B363" s="4" t="s">
        <v>171</v>
      </c>
      <c r="C363" s="4"/>
      <c r="D363" s="7">
        <v>45322</v>
      </c>
      <c r="E363" s="5">
        <v>300000</v>
      </c>
      <c r="F363" s="5">
        <f>ROUND(F362+E363,5)</f>
        <v>300000</v>
      </c>
    </row>
    <row r="364" spans="1:6" x14ac:dyDescent="0.25">
      <c r="A364" s="4" t="s">
        <v>612</v>
      </c>
      <c r="B364" s="4" t="s">
        <v>170</v>
      </c>
      <c r="C364" s="4"/>
      <c r="D364" s="7">
        <v>45331</v>
      </c>
      <c r="E364" s="5">
        <v>-150000</v>
      </c>
      <c r="F364" s="5">
        <f>ROUND(F363+E364,5)</f>
        <v>150000</v>
      </c>
    </row>
    <row r="365" spans="1:6" ht="15.75" thickBot="1" x14ac:dyDescent="0.3">
      <c r="A365" s="4" t="s">
        <v>612</v>
      </c>
      <c r="B365" s="4" t="s">
        <v>173</v>
      </c>
      <c r="C365" s="4"/>
      <c r="D365" s="7">
        <v>45383</v>
      </c>
      <c r="E365" s="8">
        <v>-150000</v>
      </c>
      <c r="F365" s="8">
        <f>ROUND(F364+E365,5)</f>
        <v>0</v>
      </c>
    </row>
    <row r="366" spans="1:6" x14ac:dyDescent="0.25">
      <c r="A366" s="2" t="s">
        <v>613</v>
      </c>
      <c r="B366" s="2" t="s">
        <v>182</v>
      </c>
      <c r="C366" s="2"/>
      <c r="D366" s="6"/>
      <c r="E366" s="3"/>
      <c r="F366" s="3">
        <v>0</v>
      </c>
    </row>
    <row r="367" spans="1:6" x14ac:dyDescent="0.25">
      <c r="A367" s="4" t="s">
        <v>613</v>
      </c>
      <c r="B367" s="4" t="s">
        <v>171</v>
      </c>
      <c r="C367" s="4"/>
      <c r="D367" s="7">
        <v>45306</v>
      </c>
      <c r="E367" s="5">
        <v>425000</v>
      </c>
      <c r="F367" s="5">
        <f>ROUND(F366+E367,5)</f>
        <v>425000</v>
      </c>
    </row>
    <row r="368" spans="1:6" ht="15.75" thickBot="1" x14ac:dyDescent="0.3">
      <c r="A368" s="4" t="s">
        <v>613</v>
      </c>
      <c r="B368" s="4" t="s">
        <v>170</v>
      </c>
      <c r="C368" s="4"/>
      <c r="D368" s="7">
        <v>45306</v>
      </c>
      <c r="E368" s="8">
        <v>-25000</v>
      </c>
      <c r="F368" s="8">
        <f>ROUND(F367+E368,5)</f>
        <v>400000</v>
      </c>
    </row>
    <row r="369" spans="1:6" x14ac:dyDescent="0.25">
      <c r="A369" s="2" t="s">
        <v>614</v>
      </c>
      <c r="B369" s="2" t="s">
        <v>183</v>
      </c>
      <c r="C369" s="2"/>
      <c r="D369" s="6"/>
      <c r="E369" s="3"/>
      <c r="F369" s="3">
        <v>0</v>
      </c>
    </row>
    <row r="370" spans="1:6" x14ac:dyDescent="0.25">
      <c r="A370" s="2" t="s">
        <v>615</v>
      </c>
      <c r="B370" s="2" t="s">
        <v>184</v>
      </c>
      <c r="C370" s="2"/>
      <c r="D370" s="6"/>
      <c r="E370" s="3"/>
      <c r="F370" s="3">
        <v>0</v>
      </c>
    </row>
    <row r="371" spans="1:6" x14ac:dyDescent="0.25">
      <c r="A371" s="4" t="s">
        <v>615</v>
      </c>
      <c r="B371" s="4" t="s">
        <v>171</v>
      </c>
      <c r="C371" s="4"/>
      <c r="D371" s="7">
        <v>45306</v>
      </c>
      <c r="E371" s="5">
        <v>325000</v>
      </c>
      <c r="F371" s="5">
        <f>ROUND(F370+E371,5)</f>
        <v>325000</v>
      </c>
    </row>
    <row r="372" spans="1:6" x14ac:dyDescent="0.25">
      <c r="A372" s="4" t="s">
        <v>615</v>
      </c>
      <c r="B372" s="4" t="s">
        <v>170</v>
      </c>
      <c r="C372" s="4"/>
      <c r="D372" s="7">
        <v>45314</v>
      </c>
      <c r="E372" s="5">
        <v>-25000</v>
      </c>
      <c r="F372" s="5">
        <f>ROUND(F371+E372,5)</f>
        <v>300000</v>
      </c>
    </row>
    <row r="373" spans="1:6" x14ac:dyDescent="0.25">
      <c r="A373" s="4" t="s">
        <v>615</v>
      </c>
      <c r="B373" s="4" t="s">
        <v>170</v>
      </c>
      <c r="C373" s="4"/>
      <c r="D373" s="7">
        <v>45370</v>
      </c>
      <c r="E373" s="5">
        <v>-200000</v>
      </c>
      <c r="F373" s="5">
        <f>ROUND(F372+E373,5)</f>
        <v>100000</v>
      </c>
    </row>
    <row r="374" spans="1:6" ht="15.75" thickBot="1" x14ac:dyDescent="0.3">
      <c r="A374" s="4" t="s">
        <v>615</v>
      </c>
      <c r="B374" s="4" t="s">
        <v>170</v>
      </c>
      <c r="C374" s="4"/>
      <c r="D374" s="7">
        <v>45391</v>
      </c>
      <c r="E374" s="8">
        <v>-100000</v>
      </c>
      <c r="F374" s="8">
        <f>ROUND(F373+E374,5)</f>
        <v>0</v>
      </c>
    </row>
    <row r="375" spans="1:6" x14ac:dyDescent="0.25">
      <c r="A375" s="2" t="s">
        <v>616</v>
      </c>
      <c r="B375" s="2" t="s">
        <v>185</v>
      </c>
      <c r="C375" s="2"/>
      <c r="D375" s="6"/>
      <c r="E375" s="3"/>
      <c r="F375" s="3">
        <v>825000</v>
      </c>
    </row>
    <row r="376" spans="1:6" x14ac:dyDescent="0.25">
      <c r="A376" s="2" t="s">
        <v>617</v>
      </c>
      <c r="B376" s="2" t="s">
        <v>186</v>
      </c>
      <c r="C376" s="2"/>
      <c r="D376" s="6"/>
      <c r="E376" s="3"/>
      <c r="F376" s="3">
        <v>-429</v>
      </c>
    </row>
    <row r="377" spans="1:6" x14ac:dyDescent="0.25">
      <c r="A377" s="2" t="s">
        <v>618</v>
      </c>
      <c r="B377" s="2" t="s">
        <v>187</v>
      </c>
      <c r="C377" s="2"/>
      <c r="D377" s="6"/>
      <c r="E377" s="3"/>
      <c r="F377" s="3">
        <v>301000</v>
      </c>
    </row>
    <row r="378" spans="1:6" x14ac:dyDescent="0.25">
      <c r="A378" s="2" t="s">
        <v>619</v>
      </c>
      <c r="B378" s="2" t="s">
        <v>188</v>
      </c>
      <c r="C378" s="2"/>
      <c r="D378" s="6"/>
      <c r="E378" s="3"/>
      <c r="F378" s="3">
        <v>0</v>
      </c>
    </row>
    <row r="379" spans="1:6" x14ac:dyDescent="0.25">
      <c r="A379" s="4" t="s">
        <v>619</v>
      </c>
      <c r="B379" s="4" t="s">
        <v>171</v>
      </c>
      <c r="C379" s="4"/>
      <c r="D379" s="7">
        <v>45306</v>
      </c>
      <c r="E379" s="5">
        <v>300000</v>
      </c>
      <c r="F379" s="5">
        <f>ROUND(F378+E379,5)</f>
        <v>300000</v>
      </c>
    </row>
    <row r="380" spans="1:6" x14ac:dyDescent="0.25">
      <c r="A380" s="4" t="s">
        <v>619</v>
      </c>
      <c r="B380" s="4" t="s">
        <v>171</v>
      </c>
      <c r="C380" s="4"/>
      <c r="D380" s="7">
        <v>45306</v>
      </c>
      <c r="E380" s="5">
        <v>25000</v>
      </c>
      <c r="F380" s="5">
        <f>ROUND(F379+E380,5)</f>
        <v>325000</v>
      </c>
    </row>
    <row r="381" spans="1:6" x14ac:dyDescent="0.25">
      <c r="A381" s="4" t="s">
        <v>619</v>
      </c>
      <c r="B381" s="4" t="s">
        <v>173</v>
      </c>
      <c r="C381" s="4"/>
      <c r="D381" s="7">
        <v>45337</v>
      </c>
      <c r="E381" s="5">
        <v>-25000</v>
      </c>
      <c r="F381" s="5">
        <f>ROUND(F380+E381,5)</f>
        <v>300000</v>
      </c>
    </row>
    <row r="382" spans="1:6" ht="15.75" thickBot="1" x14ac:dyDescent="0.3">
      <c r="A382" s="4" t="s">
        <v>619</v>
      </c>
      <c r="B382" s="4" t="s">
        <v>173</v>
      </c>
      <c r="C382" s="4"/>
      <c r="D382" s="7">
        <v>45383</v>
      </c>
      <c r="E382" s="8">
        <v>-300000</v>
      </c>
      <c r="F382" s="8">
        <f>ROUND(F381+E382,5)</f>
        <v>0</v>
      </c>
    </row>
    <row r="383" spans="1:6" x14ac:dyDescent="0.25">
      <c r="A383" s="2" t="s">
        <v>620</v>
      </c>
      <c r="B383" s="2" t="s">
        <v>189</v>
      </c>
      <c r="C383" s="2"/>
      <c r="D383" s="6"/>
      <c r="E383" s="3"/>
      <c r="F383" s="3">
        <v>600000</v>
      </c>
    </row>
    <row r="384" spans="1:6" x14ac:dyDescent="0.25">
      <c r="A384" s="2" t="s">
        <v>621</v>
      </c>
      <c r="B384" s="2" t="s">
        <v>190</v>
      </c>
      <c r="C384" s="2"/>
      <c r="D384" s="6"/>
      <c r="E384" s="3"/>
      <c r="F384" s="3">
        <v>100000</v>
      </c>
    </row>
    <row r="385" spans="1:6" x14ac:dyDescent="0.25">
      <c r="A385" s="2" t="s">
        <v>622</v>
      </c>
      <c r="B385" s="2" t="s">
        <v>191</v>
      </c>
      <c r="C385" s="2"/>
      <c r="D385" s="6"/>
      <c r="E385" s="3"/>
      <c r="F385" s="3">
        <v>900000</v>
      </c>
    </row>
    <row r="386" spans="1:6" x14ac:dyDescent="0.25">
      <c r="A386" s="2" t="s">
        <v>623</v>
      </c>
      <c r="B386" s="2" t="s">
        <v>192</v>
      </c>
      <c r="C386" s="2"/>
      <c r="D386" s="6"/>
      <c r="E386" s="3"/>
      <c r="F386" s="3">
        <v>0</v>
      </c>
    </row>
    <row r="387" spans="1:6" x14ac:dyDescent="0.25">
      <c r="A387" s="4" t="s">
        <v>623</v>
      </c>
      <c r="B387" s="4" t="s">
        <v>171</v>
      </c>
      <c r="C387" s="4"/>
      <c r="D387" s="7">
        <v>45306</v>
      </c>
      <c r="E387" s="5">
        <v>325002.59999999998</v>
      </c>
      <c r="F387" s="5">
        <f>ROUND(F386+E387,5)</f>
        <v>325002.59999999998</v>
      </c>
    </row>
    <row r="388" spans="1:6" x14ac:dyDescent="0.25">
      <c r="A388" s="4" t="s">
        <v>623</v>
      </c>
      <c r="B388" s="4" t="s">
        <v>171</v>
      </c>
      <c r="C388" s="4"/>
      <c r="D388" s="7">
        <v>45322</v>
      </c>
      <c r="E388" s="5">
        <v>260034</v>
      </c>
      <c r="F388" s="5">
        <f>ROUND(F387+E388,5)</f>
        <v>585036.6</v>
      </c>
    </row>
    <row r="389" spans="1:6" x14ac:dyDescent="0.25">
      <c r="A389" s="4" t="s">
        <v>623</v>
      </c>
      <c r="B389" s="4" t="s">
        <v>172</v>
      </c>
      <c r="C389" s="4"/>
      <c r="D389" s="7">
        <v>45327</v>
      </c>
      <c r="E389" s="5">
        <v>-114000</v>
      </c>
      <c r="F389" s="5">
        <f>ROUND(F388+E389,5)</f>
        <v>471036.6</v>
      </c>
    </row>
    <row r="390" spans="1:6" ht="15.75" thickBot="1" x14ac:dyDescent="0.3">
      <c r="A390" s="4" t="s">
        <v>623</v>
      </c>
      <c r="B390" s="4" t="s">
        <v>172</v>
      </c>
      <c r="C390" s="4"/>
      <c r="D390" s="7">
        <v>45327</v>
      </c>
      <c r="E390" s="8">
        <v>-260000</v>
      </c>
      <c r="F390" s="8">
        <f>ROUND(F389+E390,5)</f>
        <v>211036.6</v>
      </c>
    </row>
    <row r="391" spans="1:6" x14ac:dyDescent="0.25">
      <c r="A391" s="2" t="s">
        <v>624</v>
      </c>
      <c r="B391" s="2" t="s">
        <v>193</v>
      </c>
      <c r="C391" s="2"/>
      <c r="D391" s="6"/>
      <c r="E391" s="3"/>
      <c r="F391" s="3">
        <v>-15000</v>
      </c>
    </row>
    <row r="392" spans="1:6" x14ac:dyDescent="0.25">
      <c r="A392" s="4" t="s">
        <v>624</v>
      </c>
      <c r="B392" s="4" t="s">
        <v>171</v>
      </c>
      <c r="C392" s="4"/>
      <c r="D392" s="7">
        <v>45408</v>
      </c>
      <c r="E392" s="5">
        <v>40000</v>
      </c>
      <c r="F392" s="5">
        <f>ROUND(F391+E392,5)</f>
        <v>25000</v>
      </c>
    </row>
    <row r="393" spans="1:6" ht="15.75" thickBot="1" x14ac:dyDescent="0.3">
      <c r="A393" s="4" t="s">
        <v>624</v>
      </c>
      <c r="B393" s="4" t="s">
        <v>170</v>
      </c>
      <c r="C393" s="4"/>
      <c r="D393" s="7">
        <v>45408</v>
      </c>
      <c r="E393" s="8">
        <v>-25000</v>
      </c>
      <c r="F393" s="8">
        <f>ROUND(F392+E393,5)</f>
        <v>0</v>
      </c>
    </row>
    <row r="394" spans="1:6" x14ac:dyDescent="0.25">
      <c r="A394" s="2" t="s">
        <v>625</v>
      </c>
      <c r="B394" s="2" t="s">
        <v>194</v>
      </c>
      <c r="C394" s="2"/>
      <c r="D394" s="6"/>
      <c r="E394" s="3"/>
      <c r="F394" s="3">
        <v>0</v>
      </c>
    </row>
    <row r="395" spans="1:6" x14ac:dyDescent="0.25">
      <c r="A395" s="4" t="s">
        <v>625</v>
      </c>
      <c r="B395" s="4" t="s">
        <v>171</v>
      </c>
      <c r="C395" s="4"/>
      <c r="D395" s="7">
        <v>45306</v>
      </c>
      <c r="E395" s="5">
        <v>325000</v>
      </c>
      <c r="F395" s="5">
        <f>ROUND(F394+E395,5)</f>
        <v>325000</v>
      </c>
    </row>
    <row r="396" spans="1:6" ht="15.75" thickBot="1" x14ac:dyDescent="0.3">
      <c r="A396" s="4" t="s">
        <v>625</v>
      </c>
      <c r="B396" s="4" t="s">
        <v>170</v>
      </c>
      <c r="C396" s="4"/>
      <c r="D396" s="7">
        <v>45321</v>
      </c>
      <c r="E396" s="8">
        <v>-25000</v>
      </c>
      <c r="F396" s="8">
        <f>ROUND(F395+E396,5)</f>
        <v>300000</v>
      </c>
    </row>
    <row r="397" spans="1:6" x14ac:dyDescent="0.25">
      <c r="A397" s="2" t="s">
        <v>626</v>
      </c>
      <c r="B397" s="2" t="s">
        <v>195</v>
      </c>
      <c r="C397" s="2"/>
      <c r="D397" s="6"/>
      <c r="E397" s="3"/>
      <c r="F397" s="3">
        <v>800000</v>
      </c>
    </row>
    <row r="398" spans="1:6" x14ac:dyDescent="0.25">
      <c r="A398" s="2" t="s">
        <v>627</v>
      </c>
      <c r="B398" s="2" t="s">
        <v>196</v>
      </c>
      <c r="C398" s="2"/>
      <c r="D398" s="6"/>
      <c r="E398" s="3"/>
      <c r="F398" s="3">
        <v>50002</v>
      </c>
    </row>
    <row r="399" spans="1:6" x14ac:dyDescent="0.25">
      <c r="A399" s="4" t="s">
        <v>627</v>
      </c>
      <c r="B399" s="4" t="s">
        <v>171</v>
      </c>
      <c r="C399" s="4"/>
      <c r="D399" s="7">
        <v>45306</v>
      </c>
      <c r="E399" s="5">
        <v>300000</v>
      </c>
      <c r="F399" s="5">
        <f>ROUND(F398+E399,5)</f>
        <v>350002</v>
      </c>
    </row>
    <row r="400" spans="1:6" x14ac:dyDescent="0.25">
      <c r="A400" s="4" t="s">
        <v>627</v>
      </c>
      <c r="B400" s="4" t="s">
        <v>170</v>
      </c>
      <c r="C400" s="4"/>
      <c r="D400" s="7">
        <v>45342</v>
      </c>
      <c r="E400" s="5">
        <v>-50000</v>
      </c>
      <c r="F400" s="5">
        <f>ROUND(F399+E400,5)</f>
        <v>300002</v>
      </c>
    </row>
    <row r="401" spans="1:6" x14ac:dyDescent="0.25">
      <c r="A401" s="4" t="s">
        <v>627</v>
      </c>
      <c r="B401" s="4" t="s">
        <v>170</v>
      </c>
      <c r="C401" s="4"/>
      <c r="D401" s="7">
        <v>45349</v>
      </c>
      <c r="E401" s="5">
        <v>-50000</v>
      </c>
      <c r="F401" s="5">
        <f>ROUND(F400+E401,5)</f>
        <v>250002</v>
      </c>
    </row>
    <row r="402" spans="1:6" ht="15.75" thickBot="1" x14ac:dyDescent="0.3">
      <c r="A402" s="4" t="s">
        <v>627</v>
      </c>
      <c r="B402" s="4" t="s">
        <v>170</v>
      </c>
      <c r="C402" s="4"/>
      <c r="D402" s="7">
        <v>45415</v>
      </c>
      <c r="E402" s="8">
        <v>-50000</v>
      </c>
      <c r="F402" s="8">
        <f>ROUND(F401+E402,5)</f>
        <v>200002</v>
      </c>
    </row>
    <row r="403" spans="1:6" x14ac:dyDescent="0.25">
      <c r="A403" s="2" t="s">
        <v>628</v>
      </c>
      <c r="B403" s="2" t="s">
        <v>197</v>
      </c>
      <c r="C403" s="2"/>
      <c r="D403" s="6"/>
      <c r="E403" s="3"/>
      <c r="F403" s="3">
        <v>0</v>
      </c>
    </row>
    <row r="404" spans="1:6" x14ac:dyDescent="0.25">
      <c r="A404" s="2" t="s">
        <v>629</v>
      </c>
      <c r="B404" s="2" t="s">
        <v>198</v>
      </c>
      <c r="C404" s="2"/>
      <c r="D404" s="6"/>
      <c r="E404" s="3"/>
      <c r="F404" s="3">
        <v>0</v>
      </c>
    </row>
    <row r="405" spans="1:6" x14ac:dyDescent="0.25">
      <c r="A405" s="4" t="s">
        <v>629</v>
      </c>
      <c r="B405" s="4" t="s">
        <v>171</v>
      </c>
      <c r="C405" s="4"/>
      <c r="D405" s="7">
        <v>45337</v>
      </c>
      <c r="E405" s="5">
        <v>65000</v>
      </c>
      <c r="F405" s="5">
        <f>ROUND(F404+E405,5)</f>
        <v>65000</v>
      </c>
    </row>
    <row r="406" spans="1:6" ht="15.75" thickBot="1" x14ac:dyDescent="0.3">
      <c r="A406" s="4" t="s">
        <v>629</v>
      </c>
      <c r="B406" s="4" t="s">
        <v>170</v>
      </c>
      <c r="C406" s="4"/>
      <c r="D406" s="7">
        <v>45362</v>
      </c>
      <c r="E406" s="8">
        <v>-65000</v>
      </c>
      <c r="F406" s="8">
        <f>ROUND(F405+E406,5)</f>
        <v>0</v>
      </c>
    </row>
    <row r="407" spans="1:6" x14ac:dyDescent="0.25">
      <c r="A407" s="2" t="s">
        <v>630</v>
      </c>
      <c r="B407" s="2" t="s">
        <v>199</v>
      </c>
      <c r="C407" s="2"/>
      <c r="D407" s="6"/>
      <c r="E407" s="3"/>
      <c r="F407" s="3">
        <v>1350000</v>
      </c>
    </row>
    <row r="408" spans="1:6" x14ac:dyDescent="0.25">
      <c r="A408" s="2" t="s">
        <v>631</v>
      </c>
      <c r="B408" s="2" t="s">
        <v>200</v>
      </c>
      <c r="C408" s="2"/>
      <c r="D408" s="6"/>
      <c r="E408" s="3"/>
      <c r="F408" s="3">
        <v>45000</v>
      </c>
    </row>
    <row r="409" spans="1:6" x14ac:dyDescent="0.25">
      <c r="A409" s="2" t="s">
        <v>632</v>
      </c>
      <c r="B409" s="2" t="s">
        <v>201</v>
      </c>
      <c r="C409" s="2"/>
      <c r="D409" s="6"/>
      <c r="E409" s="3"/>
      <c r="F409" s="3">
        <v>0</v>
      </c>
    </row>
    <row r="410" spans="1:6" x14ac:dyDescent="0.25">
      <c r="A410" s="2" t="s">
        <v>633</v>
      </c>
      <c r="B410" s="2" t="s">
        <v>202</v>
      </c>
      <c r="C410" s="2"/>
      <c r="D410" s="6"/>
      <c r="E410" s="3"/>
      <c r="F410" s="3">
        <v>0</v>
      </c>
    </row>
    <row r="411" spans="1:6" x14ac:dyDescent="0.25">
      <c r="A411" s="4" t="s">
        <v>633</v>
      </c>
      <c r="B411" s="4" t="s">
        <v>171</v>
      </c>
      <c r="C411" s="4"/>
      <c r="D411" s="7">
        <v>45322</v>
      </c>
      <c r="E411" s="5">
        <v>300000</v>
      </c>
      <c r="F411" s="5">
        <f>ROUND(F410+E411,5)</f>
        <v>300000</v>
      </c>
    </row>
    <row r="412" spans="1:6" ht="15.75" thickBot="1" x14ac:dyDescent="0.3">
      <c r="A412" s="4" t="s">
        <v>633</v>
      </c>
      <c r="B412" s="4" t="s">
        <v>170</v>
      </c>
      <c r="C412" s="4"/>
      <c r="D412" s="7">
        <v>45345</v>
      </c>
      <c r="E412" s="8">
        <v>-300000</v>
      </c>
      <c r="F412" s="8">
        <f>ROUND(F411+E412,5)</f>
        <v>0</v>
      </c>
    </row>
    <row r="413" spans="1:6" x14ac:dyDescent="0.25">
      <c r="A413" s="2" t="s">
        <v>634</v>
      </c>
      <c r="B413" s="2" t="s">
        <v>203</v>
      </c>
      <c r="C413" s="2"/>
      <c r="D413" s="6"/>
      <c r="E413" s="3"/>
      <c r="F413" s="3">
        <v>0</v>
      </c>
    </row>
    <row r="414" spans="1:6" x14ac:dyDescent="0.25">
      <c r="A414" s="4" t="s">
        <v>634</v>
      </c>
      <c r="B414" s="4" t="s">
        <v>171</v>
      </c>
      <c r="C414" s="4"/>
      <c r="D414" s="7">
        <v>45337</v>
      </c>
      <c r="E414" s="5">
        <v>65000</v>
      </c>
      <c r="F414" s="5">
        <f>ROUND(F413+E414,5)</f>
        <v>65000</v>
      </c>
    </row>
    <row r="415" spans="1:6" ht="15.75" thickBot="1" x14ac:dyDescent="0.3">
      <c r="A415" s="4" t="s">
        <v>634</v>
      </c>
      <c r="B415" s="4" t="s">
        <v>170</v>
      </c>
      <c r="C415" s="4"/>
      <c r="D415" s="7">
        <v>45356</v>
      </c>
      <c r="E415" s="8">
        <v>-60000</v>
      </c>
      <c r="F415" s="8">
        <f>ROUND(F414+E415,5)</f>
        <v>5000</v>
      </c>
    </row>
    <row r="416" spans="1:6" x14ac:dyDescent="0.25">
      <c r="A416" s="2" t="s">
        <v>635</v>
      </c>
      <c r="B416" s="2" t="s">
        <v>204</v>
      </c>
      <c r="C416" s="2"/>
      <c r="D416" s="6"/>
      <c r="E416" s="3"/>
      <c r="F416" s="3">
        <v>0</v>
      </c>
    </row>
    <row r="417" spans="1:6" x14ac:dyDescent="0.25">
      <c r="A417" s="2" t="s">
        <v>636</v>
      </c>
      <c r="B417" s="2" t="s">
        <v>205</v>
      </c>
      <c r="C417" s="2"/>
      <c r="D417" s="6"/>
      <c r="E417" s="3"/>
      <c r="F417" s="3">
        <v>300000</v>
      </c>
    </row>
    <row r="418" spans="1:6" x14ac:dyDescent="0.25">
      <c r="A418" s="2" t="s">
        <v>637</v>
      </c>
      <c r="B418" s="2" t="s">
        <v>206</v>
      </c>
      <c r="C418" s="2"/>
      <c r="D418" s="6"/>
      <c r="E418" s="3"/>
      <c r="F418" s="3">
        <v>540000</v>
      </c>
    </row>
    <row r="419" spans="1:6" x14ac:dyDescent="0.25">
      <c r="A419" s="2" t="s">
        <v>638</v>
      </c>
      <c r="B419" s="2" t="s">
        <v>207</v>
      </c>
      <c r="C419" s="2"/>
      <c r="D419" s="6"/>
      <c r="E419" s="3"/>
      <c r="F419" s="3">
        <v>0</v>
      </c>
    </row>
    <row r="420" spans="1:6" x14ac:dyDescent="0.25">
      <c r="A420" s="4" t="s">
        <v>638</v>
      </c>
      <c r="B420" s="4" t="s">
        <v>171</v>
      </c>
      <c r="C420" s="4"/>
      <c r="D420" s="7">
        <v>45306</v>
      </c>
      <c r="E420" s="5">
        <v>425000</v>
      </c>
      <c r="F420" s="5">
        <f>ROUND(F419+E420,5)</f>
        <v>425000</v>
      </c>
    </row>
    <row r="421" spans="1:6" ht="15.75" thickBot="1" x14ac:dyDescent="0.3">
      <c r="A421" s="4" t="s">
        <v>638</v>
      </c>
      <c r="B421" s="4" t="s">
        <v>170</v>
      </c>
      <c r="C421" s="4"/>
      <c r="D421" s="7">
        <v>45358</v>
      </c>
      <c r="E421" s="8">
        <v>-25000</v>
      </c>
      <c r="F421" s="8">
        <f>ROUND(F420+E421,5)</f>
        <v>400000</v>
      </c>
    </row>
    <row r="422" spans="1:6" x14ac:dyDescent="0.25">
      <c r="A422" s="2" t="s">
        <v>639</v>
      </c>
      <c r="B422" s="2" t="s">
        <v>208</v>
      </c>
      <c r="C422" s="2"/>
      <c r="D422" s="6"/>
      <c r="E422" s="3"/>
      <c r="F422" s="3">
        <v>600000</v>
      </c>
    </row>
    <row r="423" spans="1:6" ht="15.75" thickBot="1" x14ac:dyDescent="0.3">
      <c r="A423" s="1" t="s">
        <v>639</v>
      </c>
      <c r="B423" s="4" t="s">
        <v>170</v>
      </c>
      <c r="C423" s="4"/>
      <c r="D423" s="7">
        <v>45355</v>
      </c>
      <c r="E423" s="8">
        <v>-200000</v>
      </c>
      <c r="F423" s="8">
        <f>ROUND(F422+E423,5)</f>
        <v>400000</v>
      </c>
    </row>
    <row r="424" spans="1:6" x14ac:dyDescent="0.25">
      <c r="A424" s="2" t="s">
        <v>640</v>
      </c>
      <c r="B424" s="2" t="s">
        <v>209</v>
      </c>
      <c r="C424" s="2"/>
      <c r="D424" s="6"/>
      <c r="E424" s="3"/>
      <c r="F424" s="3">
        <v>190000</v>
      </c>
    </row>
    <row r="425" spans="1:6" ht="15.75" thickBot="1" x14ac:dyDescent="0.3">
      <c r="A425" s="1" t="s">
        <v>640</v>
      </c>
      <c r="B425" s="4" t="s">
        <v>172</v>
      </c>
      <c r="C425" s="4"/>
      <c r="D425" s="7">
        <v>45384</v>
      </c>
      <c r="E425" s="8">
        <v>-190000</v>
      </c>
      <c r="F425" s="8">
        <f>ROUND(F424+E425,5)</f>
        <v>0</v>
      </c>
    </row>
    <row r="426" spans="1:6" x14ac:dyDescent="0.25">
      <c r="A426" s="2" t="s">
        <v>640</v>
      </c>
      <c r="B426" s="2" t="s">
        <v>641</v>
      </c>
      <c r="C426" s="2"/>
      <c r="D426" s="6"/>
      <c r="E426" s="3"/>
      <c r="F426" s="3">
        <v>1350000</v>
      </c>
    </row>
    <row r="427" spans="1:6" x14ac:dyDescent="0.25">
      <c r="A427" s="2" t="s">
        <v>642</v>
      </c>
      <c r="B427" s="2" t="s">
        <v>210</v>
      </c>
      <c r="C427" s="2"/>
      <c r="D427" s="6"/>
      <c r="E427" s="3"/>
      <c r="F427" s="3">
        <v>400000</v>
      </c>
    </row>
    <row r="428" spans="1:6" ht="15.75" thickBot="1" x14ac:dyDescent="0.3">
      <c r="A428" s="1" t="s">
        <v>642</v>
      </c>
      <c r="B428" s="4" t="s">
        <v>171</v>
      </c>
      <c r="C428" s="4"/>
      <c r="D428" s="7">
        <v>45322</v>
      </c>
      <c r="E428" s="8">
        <v>400000</v>
      </c>
      <c r="F428" s="8">
        <f>ROUND(F427+E428,5)</f>
        <v>800000</v>
      </c>
    </row>
    <row r="429" spans="1:6" x14ac:dyDescent="0.25">
      <c r="A429" s="2" t="s">
        <v>643</v>
      </c>
      <c r="B429" s="2" t="s">
        <v>211</v>
      </c>
      <c r="C429" s="2"/>
      <c r="D429" s="6"/>
      <c r="E429" s="3"/>
      <c r="F429" s="3">
        <v>0</v>
      </c>
    </row>
    <row r="430" spans="1:6" x14ac:dyDescent="0.25">
      <c r="A430" s="2" t="s">
        <v>644</v>
      </c>
      <c r="B430" s="2" t="s">
        <v>212</v>
      </c>
      <c r="C430" s="2"/>
      <c r="D430" s="6"/>
      <c r="E430" s="3"/>
      <c r="F430" s="3">
        <v>700000</v>
      </c>
    </row>
    <row r="431" spans="1:6" x14ac:dyDescent="0.25">
      <c r="A431" s="4" t="s">
        <v>644</v>
      </c>
      <c r="B431" s="4" t="s">
        <v>171</v>
      </c>
      <c r="C431" s="4"/>
      <c r="D431" s="7">
        <v>45306</v>
      </c>
      <c r="E431" s="5">
        <v>300000</v>
      </c>
      <c r="F431" s="5">
        <f>ROUND(F430+E431,5)</f>
        <v>1000000</v>
      </c>
    </row>
    <row r="432" spans="1:6" x14ac:dyDescent="0.25">
      <c r="A432" s="4" t="s">
        <v>644</v>
      </c>
      <c r="B432" s="4" t="s">
        <v>170</v>
      </c>
      <c r="C432" s="4"/>
      <c r="D432" s="7">
        <v>45370</v>
      </c>
      <c r="E432" s="5">
        <v>-200000</v>
      </c>
      <c r="F432" s="5">
        <f>ROUND(F431+E432,5)</f>
        <v>800000</v>
      </c>
    </row>
    <row r="433" spans="1:6" ht="15.75" thickBot="1" x14ac:dyDescent="0.3">
      <c r="A433" s="4" t="s">
        <v>644</v>
      </c>
      <c r="B433" s="4" t="s">
        <v>170</v>
      </c>
      <c r="C433" s="4"/>
      <c r="D433" s="7">
        <v>45391</v>
      </c>
      <c r="E433" s="8">
        <v>-100000</v>
      </c>
      <c r="F433" s="8">
        <f>ROUND(F432+E433,5)</f>
        <v>700000</v>
      </c>
    </row>
    <row r="434" spans="1:6" x14ac:dyDescent="0.25">
      <c r="A434" s="2" t="s">
        <v>645</v>
      </c>
      <c r="B434" s="2" t="s">
        <v>213</v>
      </c>
      <c r="C434" s="2"/>
      <c r="D434" s="6"/>
      <c r="E434" s="3"/>
      <c r="F434" s="3">
        <v>1000000</v>
      </c>
    </row>
    <row r="435" spans="1:6" x14ac:dyDescent="0.25">
      <c r="A435" s="2" t="s">
        <v>646</v>
      </c>
      <c r="B435" s="2" t="s">
        <v>214</v>
      </c>
      <c r="C435" s="2"/>
      <c r="D435" s="6"/>
      <c r="E435" s="3"/>
      <c r="F435" s="3">
        <v>0</v>
      </c>
    </row>
    <row r="436" spans="1:6" x14ac:dyDescent="0.25">
      <c r="A436" s="2" t="s">
        <v>647</v>
      </c>
      <c r="B436" s="2" t="s">
        <v>215</v>
      </c>
      <c r="C436" s="2"/>
      <c r="D436" s="6"/>
      <c r="E436" s="3"/>
      <c r="F436" s="3">
        <v>0</v>
      </c>
    </row>
    <row r="437" spans="1:6" x14ac:dyDescent="0.25">
      <c r="A437" s="4" t="s">
        <v>647</v>
      </c>
      <c r="B437" s="4" t="s">
        <v>171</v>
      </c>
      <c r="C437" s="4"/>
      <c r="D437" s="7">
        <v>45306</v>
      </c>
      <c r="E437" s="5">
        <v>325000</v>
      </c>
      <c r="F437" s="5">
        <f>ROUND(F436+E437,5)</f>
        <v>325000</v>
      </c>
    </row>
    <row r="438" spans="1:6" x14ac:dyDescent="0.25">
      <c r="A438" s="4" t="s">
        <v>647</v>
      </c>
      <c r="B438" s="4" t="s">
        <v>170</v>
      </c>
      <c r="C438" s="4"/>
      <c r="D438" s="7">
        <v>45317</v>
      </c>
      <c r="E438" s="5">
        <v>-25000</v>
      </c>
      <c r="F438" s="5">
        <f>ROUND(F437+E438,5)</f>
        <v>300000</v>
      </c>
    </row>
    <row r="439" spans="1:6" x14ac:dyDescent="0.25">
      <c r="A439" s="4" t="s">
        <v>647</v>
      </c>
      <c r="B439" s="4" t="s">
        <v>170</v>
      </c>
      <c r="C439" s="4"/>
      <c r="D439" s="7">
        <v>45383</v>
      </c>
      <c r="E439" s="5">
        <v>-150000</v>
      </c>
      <c r="F439" s="5">
        <f>ROUND(F438+E439,5)</f>
        <v>150000</v>
      </c>
    </row>
    <row r="440" spans="1:6" x14ac:dyDescent="0.25">
      <c r="A440" s="4" t="s">
        <v>647</v>
      </c>
      <c r="B440" s="4" t="s">
        <v>170</v>
      </c>
      <c r="C440" s="4"/>
      <c r="D440" s="7">
        <v>45406</v>
      </c>
      <c r="E440" s="5">
        <v>-75000</v>
      </c>
      <c r="F440" s="5">
        <f>ROUND(F439+E440,5)</f>
        <v>75000</v>
      </c>
    </row>
    <row r="441" spans="1:6" ht="15.75" thickBot="1" x14ac:dyDescent="0.3">
      <c r="A441" s="4" t="s">
        <v>647</v>
      </c>
      <c r="B441" s="4" t="s">
        <v>170</v>
      </c>
      <c r="C441" s="4"/>
      <c r="D441" s="7">
        <v>45429</v>
      </c>
      <c r="E441" s="8">
        <v>-75000</v>
      </c>
      <c r="F441" s="8">
        <f>ROUND(F440+E441,5)</f>
        <v>0</v>
      </c>
    </row>
    <row r="442" spans="1:6" x14ac:dyDescent="0.25">
      <c r="A442" s="2" t="s">
        <v>648</v>
      </c>
      <c r="B442" s="2" t="s">
        <v>216</v>
      </c>
      <c r="C442" s="2"/>
      <c r="D442" s="6"/>
      <c r="E442" s="3"/>
      <c r="F442" s="3">
        <v>195000</v>
      </c>
    </row>
    <row r="443" spans="1:6" ht="15.75" thickBot="1" x14ac:dyDescent="0.3">
      <c r="A443" s="1" t="s">
        <v>648</v>
      </c>
      <c r="B443" s="4" t="s">
        <v>170</v>
      </c>
      <c r="C443" s="4"/>
      <c r="D443" s="7">
        <v>45387</v>
      </c>
      <c r="E443" s="8">
        <v>-150000</v>
      </c>
      <c r="F443" s="8">
        <f>ROUND(F442+E443,5)</f>
        <v>45000</v>
      </c>
    </row>
    <row r="444" spans="1:6" x14ac:dyDescent="0.25">
      <c r="A444" s="2" t="s">
        <v>649</v>
      </c>
      <c r="B444" s="2" t="s">
        <v>217</v>
      </c>
      <c r="C444" s="2"/>
      <c r="D444" s="6"/>
      <c r="E444" s="3"/>
      <c r="F444" s="3">
        <v>25000</v>
      </c>
    </row>
    <row r="445" spans="1:6" x14ac:dyDescent="0.25">
      <c r="A445" s="4" t="s">
        <v>649</v>
      </c>
      <c r="B445" s="4" t="s">
        <v>171</v>
      </c>
      <c r="C445" s="4"/>
      <c r="D445" s="7">
        <v>45306</v>
      </c>
      <c r="E445" s="5">
        <v>300000</v>
      </c>
      <c r="F445" s="5">
        <f>ROUND(F444+E445,5)</f>
        <v>325000</v>
      </c>
    </row>
    <row r="446" spans="1:6" x14ac:dyDescent="0.25">
      <c r="A446" s="4" t="s">
        <v>649</v>
      </c>
      <c r="B446" s="4" t="s">
        <v>170</v>
      </c>
      <c r="C446" s="4"/>
      <c r="D446" s="7">
        <v>45355</v>
      </c>
      <c r="E446" s="5">
        <v>-600000</v>
      </c>
      <c r="F446" s="5">
        <f>ROUND(F445+E446,5)</f>
        <v>-275000</v>
      </c>
    </row>
    <row r="447" spans="1:6" x14ac:dyDescent="0.25">
      <c r="A447" s="4" t="s">
        <v>649</v>
      </c>
      <c r="B447" s="4" t="s">
        <v>171</v>
      </c>
      <c r="C447" s="4"/>
      <c r="D447" s="7">
        <v>45413</v>
      </c>
      <c r="E447" s="5">
        <v>40000</v>
      </c>
      <c r="F447" s="5">
        <f>ROUND(F446+E447,5)</f>
        <v>-235000</v>
      </c>
    </row>
    <row r="448" spans="1:6" ht="15.75" thickBot="1" x14ac:dyDescent="0.3">
      <c r="A448" s="4" t="s">
        <v>649</v>
      </c>
      <c r="B448" s="4" t="s">
        <v>170</v>
      </c>
      <c r="C448" s="4"/>
      <c r="D448" s="7">
        <v>45433</v>
      </c>
      <c r="E448" s="8">
        <v>-40000</v>
      </c>
      <c r="F448" s="8">
        <f>ROUND(F447+E448,5)</f>
        <v>-275000</v>
      </c>
    </row>
    <row r="449" spans="1:6" x14ac:dyDescent="0.25">
      <c r="A449" s="2" t="s">
        <v>650</v>
      </c>
      <c r="B449" s="2" t="s">
        <v>218</v>
      </c>
      <c r="C449" s="2"/>
      <c r="D449" s="6"/>
      <c r="E449" s="3"/>
      <c r="F449" s="3">
        <v>185000</v>
      </c>
    </row>
    <row r="450" spans="1:6" ht="15.75" thickBot="1" x14ac:dyDescent="0.3">
      <c r="A450" s="1" t="s">
        <v>650</v>
      </c>
      <c r="B450" s="4" t="s">
        <v>170</v>
      </c>
      <c r="C450" s="4"/>
      <c r="D450" s="7">
        <v>45303</v>
      </c>
      <c r="E450" s="8">
        <v>-185000</v>
      </c>
      <c r="F450" s="8">
        <f>ROUND(F449+E450,5)</f>
        <v>0</v>
      </c>
    </row>
    <row r="451" spans="1:6" x14ac:dyDescent="0.25">
      <c r="A451" s="2" t="s">
        <v>651</v>
      </c>
      <c r="B451" s="2" t="s">
        <v>219</v>
      </c>
      <c r="C451" s="2"/>
      <c r="D451" s="6"/>
      <c r="E451" s="3"/>
      <c r="F451" s="3">
        <v>600</v>
      </c>
    </row>
    <row r="452" spans="1:6" x14ac:dyDescent="0.25">
      <c r="A452" s="4" t="s">
        <v>651</v>
      </c>
      <c r="B452" s="4" t="s">
        <v>171</v>
      </c>
      <c r="C452" s="4"/>
      <c r="D452" s="7">
        <v>45382</v>
      </c>
      <c r="E452" s="5">
        <v>65000</v>
      </c>
      <c r="F452" s="5">
        <f>ROUND(F451+E452,5)</f>
        <v>65600</v>
      </c>
    </row>
    <row r="453" spans="1:6" ht="15.75" thickBot="1" x14ac:dyDescent="0.3">
      <c r="A453" s="4" t="s">
        <v>651</v>
      </c>
      <c r="B453" s="4" t="s">
        <v>170</v>
      </c>
      <c r="C453" s="4"/>
      <c r="D453" s="7">
        <v>45419</v>
      </c>
      <c r="E453" s="8">
        <v>-50000</v>
      </c>
      <c r="F453" s="8">
        <f>ROUND(F452+E453,5)</f>
        <v>15600</v>
      </c>
    </row>
    <row r="454" spans="1:6" x14ac:dyDescent="0.25">
      <c r="A454" s="2" t="s">
        <v>652</v>
      </c>
      <c r="B454" s="2" t="s">
        <v>220</v>
      </c>
      <c r="C454" s="2"/>
      <c r="D454" s="6"/>
      <c r="E454" s="3"/>
      <c r="F454" s="3">
        <v>215000</v>
      </c>
    </row>
    <row r="455" spans="1:6" x14ac:dyDescent="0.25">
      <c r="A455" s="4" t="s">
        <v>652</v>
      </c>
      <c r="B455" s="4" t="s">
        <v>171</v>
      </c>
      <c r="C455" s="4"/>
      <c r="D455" s="7">
        <v>45316</v>
      </c>
      <c r="E455" s="5">
        <v>65000</v>
      </c>
      <c r="F455" s="5">
        <f>ROUND(F454+E455,5)</f>
        <v>280000</v>
      </c>
    </row>
    <row r="456" spans="1:6" ht="15.75" thickBot="1" x14ac:dyDescent="0.3">
      <c r="A456" s="4" t="s">
        <v>652</v>
      </c>
      <c r="B456" s="4" t="s">
        <v>170</v>
      </c>
      <c r="C456" s="4"/>
      <c r="D456" s="7">
        <v>45317</v>
      </c>
      <c r="E456" s="8">
        <v>-100000</v>
      </c>
      <c r="F456" s="8">
        <f>ROUND(F455+E456,5)</f>
        <v>180000</v>
      </c>
    </row>
    <row r="457" spans="1:6" x14ac:dyDescent="0.25">
      <c r="A457" s="2" t="s">
        <v>653</v>
      </c>
      <c r="B457" s="2" t="s">
        <v>221</v>
      </c>
      <c r="C457" s="2"/>
      <c r="D457" s="6"/>
      <c r="E457" s="3"/>
      <c r="F457" s="3">
        <v>0</v>
      </c>
    </row>
    <row r="458" spans="1:6" x14ac:dyDescent="0.25">
      <c r="A458" s="2" t="s">
        <v>654</v>
      </c>
      <c r="B458" s="2" t="s">
        <v>222</v>
      </c>
      <c r="C458" s="2"/>
      <c r="D458" s="6"/>
      <c r="E458" s="3"/>
      <c r="F458" s="3">
        <v>34950</v>
      </c>
    </row>
    <row r="459" spans="1:6" x14ac:dyDescent="0.25">
      <c r="A459" s="2" t="s">
        <v>655</v>
      </c>
      <c r="B459" s="2" t="s">
        <v>223</v>
      </c>
      <c r="C459" s="2"/>
      <c r="D459" s="6"/>
      <c r="E459" s="3"/>
      <c r="F459" s="3">
        <v>0</v>
      </c>
    </row>
    <row r="460" spans="1:6" x14ac:dyDescent="0.25">
      <c r="A460" s="4" t="s">
        <v>655</v>
      </c>
      <c r="B460" s="4" t="s">
        <v>171</v>
      </c>
      <c r="C460" s="4"/>
      <c r="D460" s="7">
        <v>45306</v>
      </c>
      <c r="E460" s="5">
        <v>325000</v>
      </c>
      <c r="F460" s="5">
        <f>ROUND(F459+E460,5)</f>
        <v>325000</v>
      </c>
    </row>
    <row r="461" spans="1:6" x14ac:dyDescent="0.25">
      <c r="A461" s="4" t="s">
        <v>655</v>
      </c>
      <c r="B461" s="4" t="s">
        <v>170</v>
      </c>
      <c r="C461" s="4"/>
      <c r="D461" s="7">
        <v>45345</v>
      </c>
      <c r="E461" s="5">
        <v>-50000</v>
      </c>
      <c r="F461" s="5">
        <f>ROUND(F460+E461,5)</f>
        <v>275000</v>
      </c>
    </row>
    <row r="462" spans="1:6" ht="15.75" thickBot="1" x14ac:dyDescent="0.3">
      <c r="A462" s="4" t="s">
        <v>655</v>
      </c>
      <c r="B462" s="4" t="s">
        <v>170</v>
      </c>
      <c r="C462" s="4"/>
      <c r="D462" s="7">
        <v>45406</v>
      </c>
      <c r="E462" s="8">
        <v>-30000</v>
      </c>
      <c r="F462" s="8">
        <f>ROUND(F461+E462,5)</f>
        <v>245000</v>
      </c>
    </row>
    <row r="463" spans="1:6" x14ac:dyDescent="0.25">
      <c r="A463" s="2" t="s">
        <v>656</v>
      </c>
      <c r="B463" s="2" t="s">
        <v>224</v>
      </c>
      <c r="C463" s="2"/>
      <c r="D463" s="6"/>
      <c r="E463" s="3"/>
      <c r="F463" s="3">
        <v>0</v>
      </c>
    </row>
    <row r="464" spans="1:6" x14ac:dyDescent="0.25">
      <c r="A464" s="4" t="s">
        <v>656</v>
      </c>
      <c r="B464" s="4" t="s">
        <v>171</v>
      </c>
      <c r="C464" s="4"/>
      <c r="D464" s="7">
        <v>45306</v>
      </c>
      <c r="E464" s="5">
        <v>325000</v>
      </c>
      <c r="F464" s="5">
        <f>ROUND(F463+E464,5)</f>
        <v>325000</v>
      </c>
    </row>
    <row r="465" spans="1:6" x14ac:dyDescent="0.25">
      <c r="A465" s="4" t="s">
        <v>656</v>
      </c>
      <c r="B465" s="4" t="s">
        <v>170</v>
      </c>
      <c r="C465" s="4"/>
      <c r="D465" s="7">
        <v>45348</v>
      </c>
      <c r="E465" s="5">
        <v>-150000</v>
      </c>
      <c r="F465" s="5">
        <f>ROUND(F464+E465,5)</f>
        <v>175000</v>
      </c>
    </row>
    <row r="466" spans="1:6" ht="15.75" thickBot="1" x14ac:dyDescent="0.3">
      <c r="A466" s="4" t="s">
        <v>656</v>
      </c>
      <c r="B466" s="4" t="s">
        <v>170</v>
      </c>
      <c r="C466" s="4"/>
      <c r="D466" s="7">
        <v>45435</v>
      </c>
      <c r="E466" s="8">
        <v>-150000</v>
      </c>
      <c r="F466" s="8">
        <f>ROUND(F465+E466,5)</f>
        <v>25000</v>
      </c>
    </row>
    <row r="467" spans="1:6" x14ac:dyDescent="0.25">
      <c r="A467" s="2" t="s">
        <v>657</v>
      </c>
      <c r="B467" s="2" t="s">
        <v>225</v>
      </c>
      <c r="C467" s="2"/>
      <c r="D467" s="6"/>
      <c r="E467" s="3"/>
      <c r="F467" s="3">
        <v>-585</v>
      </c>
    </row>
    <row r="468" spans="1:6" x14ac:dyDescent="0.25">
      <c r="A468" s="4" t="s">
        <v>657</v>
      </c>
      <c r="B468" s="4" t="s">
        <v>171</v>
      </c>
      <c r="C468" s="4"/>
      <c r="D468" s="7">
        <v>45306</v>
      </c>
      <c r="E468" s="5">
        <v>300000</v>
      </c>
      <c r="F468" s="5">
        <f>ROUND(F467+E468,5)</f>
        <v>299415</v>
      </c>
    </row>
    <row r="469" spans="1:6" x14ac:dyDescent="0.25">
      <c r="A469" s="4" t="s">
        <v>657</v>
      </c>
      <c r="B469" s="4" t="s">
        <v>170</v>
      </c>
      <c r="C469" s="4"/>
      <c r="D469" s="7">
        <v>45343</v>
      </c>
      <c r="E469" s="5">
        <v>-65000</v>
      </c>
      <c r="F469" s="5">
        <f>ROUND(F468+E469,5)</f>
        <v>234415</v>
      </c>
    </row>
    <row r="470" spans="1:6" x14ac:dyDescent="0.25">
      <c r="A470" s="4" t="s">
        <v>657</v>
      </c>
      <c r="B470" s="4" t="s">
        <v>170</v>
      </c>
      <c r="C470" s="4"/>
      <c r="D470" s="7">
        <v>45357</v>
      </c>
      <c r="E470" s="5">
        <v>-80000</v>
      </c>
      <c r="F470" s="5">
        <f>ROUND(F469+E470,5)</f>
        <v>154415</v>
      </c>
    </row>
    <row r="471" spans="1:6" ht="15.75" thickBot="1" x14ac:dyDescent="0.3">
      <c r="A471" s="4" t="s">
        <v>657</v>
      </c>
      <c r="B471" s="4" t="s">
        <v>170</v>
      </c>
      <c r="C471" s="4"/>
      <c r="D471" s="7">
        <v>45376</v>
      </c>
      <c r="E471" s="8">
        <v>-155000</v>
      </c>
      <c r="F471" s="8">
        <f>ROUND(F470+E471,5)</f>
        <v>-585</v>
      </c>
    </row>
    <row r="472" spans="1:6" x14ac:dyDescent="0.25">
      <c r="A472" s="2" t="s">
        <v>658</v>
      </c>
      <c r="B472" s="2" t="s">
        <v>226</v>
      </c>
      <c r="C472" s="2"/>
      <c r="D472" s="6"/>
      <c r="E472" s="3"/>
      <c r="F472" s="3">
        <v>0</v>
      </c>
    </row>
    <row r="473" spans="1:6" x14ac:dyDescent="0.25">
      <c r="A473" s="4" t="s">
        <v>658</v>
      </c>
      <c r="B473" s="4" t="s">
        <v>171</v>
      </c>
      <c r="C473" s="4"/>
      <c r="D473" s="7">
        <v>45306</v>
      </c>
      <c r="E473" s="5">
        <v>425000</v>
      </c>
      <c r="F473" s="5">
        <f>ROUND(F472+E473,5)</f>
        <v>425000</v>
      </c>
    </row>
    <row r="474" spans="1:6" x14ac:dyDescent="0.25">
      <c r="A474" s="4" t="s">
        <v>658</v>
      </c>
      <c r="B474" s="4" t="s">
        <v>170</v>
      </c>
      <c r="C474" s="4"/>
      <c r="D474" s="7">
        <v>45337</v>
      </c>
      <c r="E474" s="5">
        <v>-50000</v>
      </c>
      <c r="F474" s="5">
        <f>ROUND(F473+E474,5)</f>
        <v>375000</v>
      </c>
    </row>
    <row r="475" spans="1:6" ht="15.75" thickBot="1" x14ac:dyDescent="0.3">
      <c r="A475" s="4" t="s">
        <v>658</v>
      </c>
      <c r="B475" s="4" t="s">
        <v>170</v>
      </c>
      <c r="C475" s="4"/>
      <c r="D475" s="7">
        <v>45378</v>
      </c>
      <c r="E475" s="8">
        <v>-350000</v>
      </c>
      <c r="F475" s="8">
        <f>ROUND(F474+E475,5)</f>
        <v>25000</v>
      </c>
    </row>
    <row r="476" spans="1:6" x14ac:dyDescent="0.25">
      <c r="A476" s="2" t="s">
        <v>565</v>
      </c>
      <c r="B476" s="2" t="s">
        <v>227</v>
      </c>
      <c r="C476" s="2"/>
      <c r="D476" s="6"/>
      <c r="E476" s="3"/>
      <c r="F476" s="3">
        <v>65000</v>
      </c>
    </row>
    <row r="477" spans="1:6" ht="15.75" thickBot="1" x14ac:dyDescent="0.3">
      <c r="A477" s="1" t="s">
        <v>565</v>
      </c>
      <c r="B477" s="4" t="s">
        <v>170</v>
      </c>
      <c r="C477" s="4"/>
      <c r="D477" s="7">
        <v>45362</v>
      </c>
      <c r="E477" s="8">
        <v>-65000</v>
      </c>
      <c r="F477" s="8">
        <f>ROUND(F476+E477,5)</f>
        <v>0</v>
      </c>
    </row>
    <row r="478" spans="1:6" x14ac:dyDescent="0.25">
      <c r="A478" s="2" t="s">
        <v>659</v>
      </c>
      <c r="B478" s="2" t="s">
        <v>228</v>
      </c>
      <c r="C478" s="2"/>
      <c r="D478" s="6"/>
      <c r="E478" s="3"/>
      <c r="F478" s="3">
        <v>65000</v>
      </c>
    </row>
    <row r="479" spans="1:6" ht="15.75" thickBot="1" x14ac:dyDescent="0.3">
      <c r="A479" s="1" t="s">
        <v>659</v>
      </c>
      <c r="B479" s="4" t="s">
        <v>170</v>
      </c>
      <c r="C479" s="4"/>
      <c r="D479" s="7">
        <v>45351</v>
      </c>
      <c r="E479" s="8">
        <v>-65000</v>
      </c>
      <c r="F479" s="8">
        <f>ROUND(F478+E479,5)</f>
        <v>0</v>
      </c>
    </row>
    <row r="480" spans="1:6" x14ac:dyDescent="0.25">
      <c r="A480" s="2" t="s">
        <v>660</v>
      </c>
      <c r="B480" s="2" t="s">
        <v>229</v>
      </c>
      <c r="C480" s="2"/>
      <c r="D480" s="6"/>
      <c r="E480" s="3"/>
      <c r="F480" s="3">
        <v>65000</v>
      </c>
    </row>
    <row r="481" spans="1:6" x14ac:dyDescent="0.25">
      <c r="A481" s="2" t="s">
        <v>661</v>
      </c>
      <c r="B481" s="2" t="s">
        <v>230</v>
      </c>
      <c r="C481" s="2"/>
      <c r="D481" s="6"/>
      <c r="E481" s="3"/>
      <c r="F481" s="3">
        <v>65000</v>
      </c>
    </row>
    <row r="482" spans="1:6" ht="15.75" thickBot="1" x14ac:dyDescent="0.3">
      <c r="A482" s="1" t="s">
        <v>661</v>
      </c>
      <c r="B482" s="4" t="s">
        <v>170</v>
      </c>
      <c r="C482" s="4"/>
      <c r="D482" s="7">
        <v>45306</v>
      </c>
      <c r="E482" s="8">
        <v>-65000</v>
      </c>
      <c r="F482" s="8">
        <f>ROUND(F481+E482,5)</f>
        <v>0</v>
      </c>
    </row>
    <row r="483" spans="1:6" x14ac:dyDescent="0.25">
      <c r="A483" s="2" t="s">
        <v>662</v>
      </c>
      <c r="B483" s="2" t="s">
        <v>231</v>
      </c>
      <c r="C483" s="2"/>
      <c r="D483" s="6"/>
      <c r="E483" s="3"/>
      <c r="F483" s="3">
        <v>1000000</v>
      </c>
    </row>
    <row r="484" spans="1:6" x14ac:dyDescent="0.25">
      <c r="A484" s="4" t="s">
        <v>662</v>
      </c>
      <c r="B484" s="4" t="s">
        <v>170</v>
      </c>
      <c r="C484" s="4"/>
      <c r="D484" s="7">
        <v>45337</v>
      </c>
      <c r="E484" s="5">
        <v>-600000</v>
      </c>
      <c r="F484" s="5">
        <f>ROUND(F483+E484,5)</f>
        <v>400000</v>
      </c>
    </row>
    <row r="485" spans="1:6" ht="15.75" thickBot="1" x14ac:dyDescent="0.3">
      <c r="A485" s="4" t="s">
        <v>662</v>
      </c>
      <c r="B485" s="4" t="s">
        <v>170</v>
      </c>
      <c r="C485" s="4"/>
      <c r="D485" s="7">
        <v>45337</v>
      </c>
      <c r="E485" s="8">
        <v>-100000</v>
      </c>
      <c r="F485" s="8">
        <f>ROUND(F484+E485,5)</f>
        <v>300000</v>
      </c>
    </row>
    <row r="486" spans="1:6" x14ac:dyDescent="0.25">
      <c r="A486" s="2" t="s">
        <v>663</v>
      </c>
      <c r="B486" s="2" t="s">
        <v>232</v>
      </c>
      <c r="C486" s="2"/>
      <c r="D486" s="6"/>
      <c r="E486" s="3"/>
      <c r="F486" s="3">
        <v>115000</v>
      </c>
    </row>
    <row r="487" spans="1:6" ht="15.75" thickBot="1" x14ac:dyDescent="0.3">
      <c r="A487" s="1" t="s">
        <v>663</v>
      </c>
      <c r="B487" s="4" t="s">
        <v>170</v>
      </c>
      <c r="C487" s="4"/>
      <c r="D487" s="7">
        <v>45303</v>
      </c>
      <c r="E487" s="8">
        <v>-115000</v>
      </c>
      <c r="F487" s="8">
        <f>ROUND(F486+E487,5)</f>
        <v>0</v>
      </c>
    </row>
    <row r="488" spans="1:6" x14ac:dyDescent="0.25">
      <c r="A488" s="2" t="s">
        <v>664</v>
      </c>
      <c r="B488" s="2" t="s">
        <v>233</v>
      </c>
      <c r="C488" s="2"/>
      <c r="D488" s="6"/>
      <c r="E488" s="3"/>
      <c r="F488" s="3">
        <v>100000</v>
      </c>
    </row>
    <row r="489" spans="1:6" x14ac:dyDescent="0.25">
      <c r="A489" s="4" t="s">
        <v>664</v>
      </c>
      <c r="B489" s="4" t="s">
        <v>171</v>
      </c>
      <c r="C489" s="4"/>
      <c r="D489" s="7">
        <v>45322</v>
      </c>
      <c r="E489" s="5">
        <v>300000</v>
      </c>
      <c r="F489" s="5">
        <f>ROUND(F488+E489,5)</f>
        <v>400000</v>
      </c>
    </row>
    <row r="490" spans="1:6" x14ac:dyDescent="0.25">
      <c r="A490" s="4" t="s">
        <v>664</v>
      </c>
      <c r="B490" s="4" t="s">
        <v>173</v>
      </c>
      <c r="C490" s="4"/>
      <c r="D490" s="7">
        <v>45341</v>
      </c>
      <c r="E490" s="5">
        <v>-100000</v>
      </c>
      <c r="F490" s="5">
        <f>ROUND(F489+E490,5)</f>
        <v>300000</v>
      </c>
    </row>
    <row r="491" spans="1:6" x14ac:dyDescent="0.25">
      <c r="A491" s="4" t="s">
        <v>664</v>
      </c>
      <c r="B491" s="4" t="s">
        <v>170</v>
      </c>
      <c r="C491" s="4"/>
      <c r="D491" s="7">
        <v>45342</v>
      </c>
      <c r="E491" s="5">
        <v>-100000</v>
      </c>
      <c r="F491" s="5">
        <f>ROUND(F490+E491,5)</f>
        <v>200000</v>
      </c>
    </row>
    <row r="492" spans="1:6" ht="15.75" thickBot="1" x14ac:dyDescent="0.3">
      <c r="A492" s="4" t="s">
        <v>664</v>
      </c>
      <c r="B492" s="4" t="s">
        <v>170</v>
      </c>
      <c r="C492" s="4"/>
      <c r="D492" s="7">
        <v>45406</v>
      </c>
      <c r="E492" s="8">
        <v>-200000</v>
      </c>
      <c r="F492" s="8">
        <f>ROUND(F491+E492,5)</f>
        <v>0</v>
      </c>
    </row>
    <row r="493" spans="1:6" x14ac:dyDescent="0.25">
      <c r="A493" s="2" t="s">
        <v>665</v>
      </c>
      <c r="B493" s="2" t="s">
        <v>234</v>
      </c>
      <c r="C493" s="2"/>
      <c r="D493" s="6"/>
      <c r="E493" s="3"/>
      <c r="F493" s="3">
        <v>0</v>
      </c>
    </row>
    <row r="494" spans="1:6" x14ac:dyDescent="0.25">
      <c r="A494" s="4" t="s">
        <v>665</v>
      </c>
      <c r="B494" s="4" t="s">
        <v>171</v>
      </c>
      <c r="C494" s="4"/>
      <c r="D494" s="7">
        <v>45306</v>
      </c>
      <c r="E494" s="5">
        <v>425000</v>
      </c>
      <c r="F494" s="5">
        <f>ROUND(F493+E494,5)</f>
        <v>425000</v>
      </c>
    </row>
    <row r="495" spans="1:6" ht="15.75" thickBot="1" x14ac:dyDescent="0.3">
      <c r="A495" s="4" t="s">
        <v>665</v>
      </c>
      <c r="B495" s="4" t="s">
        <v>170</v>
      </c>
      <c r="C495" s="4"/>
      <c r="D495" s="7">
        <v>45383</v>
      </c>
      <c r="E495" s="8">
        <v>-25000</v>
      </c>
      <c r="F495" s="8">
        <f>ROUND(F494+E495,5)</f>
        <v>400000</v>
      </c>
    </row>
    <row r="496" spans="1:6" x14ac:dyDescent="0.25">
      <c r="A496" s="2" t="s">
        <v>666</v>
      </c>
      <c r="B496" s="2" t="s">
        <v>235</v>
      </c>
      <c r="C496" s="2"/>
      <c r="D496" s="6"/>
      <c r="E496" s="3"/>
      <c r="F496" s="3">
        <v>450000</v>
      </c>
    </row>
    <row r="497" spans="1:6" ht="15.75" thickBot="1" x14ac:dyDescent="0.3">
      <c r="A497" s="1" t="s">
        <v>666</v>
      </c>
      <c r="B497" s="4" t="s">
        <v>171</v>
      </c>
      <c r="C497" s="4"/>
      <c r="D497" s="7">
        <v>45306</v>
      </c>
      <c r="E497" s="8">
        <v>300000</v>
      </c>
      <c r="F497" s="8">
        <f>ROUND(F496+E497,5)</f>
        <v>750000</v>
      </c>
    </row>
    <row r="498" spans="1:6" x14ac:dyDescent="0.25">
      <c r="A498" s="2" t="s">
        <v>667</v>
      </c>
      <c r="B498" s="2" t="s">
        <v>236</v>
      </c>
      <c r="C498" s="2"/>
      <c r="D498" s="6"/>
      <c r="E498" s="3"/>
      <c r="F498" s="3">
        <v>-150000</v>
      </c>
    </row>
    <row r="499" spans="1:6" x14ac:dyDescent="0.25">
      <c r="A499" s="4" t="s">
        <v>667</v>
      </c>
      <c r="B499" s="4" t="s">
        <v>171</v>
      </c>
      <c r="C499" s="4"/>
      <c r="D499" s="7">
        <v>45322</v>
      </c>
      <c r="E499" s="5">
        <v>300000</v>
      </c>
      <c r="F499" s="5">
        <f>ROUND(F498+E499,5)</f>
        <v>150000</v>
      </c>
    </row>
    <row r="500" spans="1:6" x14ac:dyDescent="0.25">
      <c r="A500" s="4" t="s">
        <v>667</v>
      </c>
      <c r="B500" s="4" t="s">
        <v>170</v>
      </c>
      <c r="C500" s="4"/>
      <c r="D500" s="7">
        <v>45384</v>
      </c>
      <c r="E500" s="5">
        <v>-100000</v>
      </c>
      <c r="F500" s="5">
        <f>ROUND(F499+E500,5)</f>
        <v>50000</v>
      </c>
    </row>
    <row r="501" spans="1:6" ht="15.75" thickBot="1" x14ac:dyDescent="0.3">
      <c r="A501" s="4" t="s">
        <v>667</v>
      </c>
      <c r="B501" s="4" t="s">
        <v>170</v>
      </c>
      <c r="C501" s="4"/>
      <c r="D501" s="7">
        <v>45418</v>
      </c>
      <c r="E501" s="8">
        <v>-100000</v>
      </c>
      <c r="F501" s="8">
        <f>ROUND(F500+E501,5)</f>
        <v>-50000</v>
      </c>
    </row>
    <row r="502" spans="1:6" x14ac:dyDescent="0.25">
      <c r="A502" s="2" t="s">
        <v>668</v>
      </c>
      <c r="B502" s="2" t="s">
        <v>237</v>
      </c>
      <c r="C502" s="2"/>
      <c r="D502" s="6"/>
      <c r="E502" s="3"/>
      <c r="F502" s="3">
        <v>0</v>
      </c>
    </row>
    <row r="503" spans="1:6" ht="15.75" thickBot="1" x14ac:dyDescent="0.3">
      <c r="A503" s="1" t="s">
        <v>668</v>
      </c>
      <c r="B503" s="4" t="s">
        <v>171</v>
      </c>
      <c r="C503" s="4"/>
      <c r="D503" s="7">
        <v>45306</v>
      </c>
      <c r="E503" s="8">
        <v>425000</v>
      </c>
      <c r="F503" s="8">
        <f>ROUND(F502+E503,5)</f>
        <v>425000</v>
      </c>
    </row>
    <row r="504" spans="1:6" x14ac:dyDescent="0.25">
      <c r="A504" s="2" t="s">
        <v>669</v>
      </c>
      <c r="B504" s="2" t="s">
        <v>238</v>
      </c>
      <c r="C504" s="2"/>
      <c r="D504" s="6"/>
      <c r="E504" s="3"/>
      <c r="F504" s="3">
        <v>130000</v>
      </c>
    </row>
    <row r="505" spans="1:6" x14ac:dyDescent="0.25">
      <c r="A505" s="4" t="s">
        <v>669</v>
      </c>
      <c r="B505" s="4" t="s">
        <v>171</v>
      </c>
      <c r="C505" s="4"/>
      <c r="D505" s="7">
        <v>45322</v>
      </c>
      <c r="E505" s="5">
        <v>400000</v>
      </c>
      <c r="F505" s="5">
        <f>ROUND(F504+E505,5)</f>
        <v>530000</v>
      </c>
    </row>
    <row r="506" spans="1:6" x14ac:dyDescent="0.25">
      <c r="A506" s="4" t="s">
        <v>669</v>
      </c>
      <c r="B506" s="4" t="s">
        <v>171</v>
      </c>
      <c r="C506" s="4"/>
      <c r="D506" s="7">
        <v>45322</v>
      </c>
      <c r="E506" s="5">
        <v>5000</v>
      </c>
      <c r="F506" s="5">
        <f>ROUND(F505+E506,5)</f>
        <v>535000</v>
      </c>
    </row>
    <row r="507" spans="1:6" ht="15.75" thickBot="1" x14ac:dyDescent="0.3">
      <c r="A507" s="4" t="s">
        <v>669</v>
      </c>
      <c r="B507" s="4" t="s">
        <v>170</v>
      </c>
      <c r="C507" s="4"/>
      <c r="D507" s="7">
        <v>45341</v>
      </c>
      <c r="E507" s="8">
        <v>-300000</v>
      </c>
      <c r="F507" s="8">
        <f>ROUND(F506+E507,5)</f>
        <v>235000</v>
      </c>
    </row>
    <row r="508" spans="1:6" x14ac:dyDescent="0.25">
      <c r="A508" s="2" t="s">
        <v>670</v>
      </c>
      <c r="B508" s="2" t="s">
        <v>239</v>
      </c>
      <c r="C508" s="2"/>
      <c r="D508" s="6"/>
      <c r="E508" s="3"/>
      <c r="F508" s="3">
        <v>0</v>
      </c>
    </row>
    <row r="509" spans="1:6" x14ac:dyDescent="0.25">
      <c r="A509" s="2" t="s">
        <v>671</v>
      </c>
      <c r="B509" s="2" t="s">
        <v>240</v>
      </c>
      <c r="C509" s="2"/>
      <c r="D509" s="6"/>
      <c r="E509" s="3"/>
      <c r="F509" s="3">
        <v>0</v>
      </c>
    </row>
    <row r="510" spans="1:6" ht="15.75" thickBot="1" x14ac:dyDescent="0.3">
      <c r="A510" s="1" t="s">
        <v>671</v>
      </c>
      <c r="B510" s="4" t="s">
        <v>171</v>
      </c>
      <c r="C510" s="4"/>
      <c r="D510" s="7">
        <v>45306</v>
      </c>
      <c r="E510" s="8">
        <v>300000</v>
      </c>
      <c r="F510" s="8">
        <f>ROUND(F509+E510,5)</f>
        <v>300000</v>
      </c>
    </row>
    <row r="511" spans="1:6" x14ac:dyDescent="0.25">
      <c r="A511" s="2" t="s">
        <v>672</v>
      </c>
      <c r="B511" s="2" t="s">
        <v>241</v>
      </c>
      <c r="C511" s="2"/>
      <c r="D511" s="6"/>
      <c r="E511" s="3"/>
      <c r="F511" s="3">
        <v>0</v>
      </c>
    </row>
    <row r="512" spans="1:6" x14ac:dyDescent="0.25">
      <c r="A512" s="2" t="s">
        <v>673</v>
      </c>
      <c r="B512" s="2" t="s">
        <v>242</v>
      </c>
      <c r="C512" s="2"/>
      <c r="D512" s="6"/>
      <c r="E512" s="3"/>
      <c r="F512" s="3">
        <v>0</v>
      </c>
    </row>
    <row r="513" spans="1:6" x14ac:dyDescent="0.25">
      <c r="A513" s="4" t="s">
        <v>673</v>
      </c>
      <c r="B513" s="4" t="s">
        <v>171</v>
      </c>
      <c r="C513" s="4"/>
      <c r="D513" s="7">
        <v>45306</v>
      </c>
      <c r="E513" s="5">
        <v>425000</v>
      </c>
      <c r="F513" s="5">
        <f>ROUND(F512+E513,5)</f>
        <v>425000</v>
      </c>
    </row>
    <row r="514" spans="1:6" ht="15.75" thickBot="1" x14ac:dyDescent="0.3">
      <c r="A514" s="4" t="s">
        <v>673</v>
      </c>
      <c r="B514" s="4" t="s">
        <v>170</v>
      </c>
      <c r="C514" s="4"/>
      <c r="D514" s="7">
        <v>45313</v>
      </c>
      <c r="E514" s="8">
        <v>-25000</v>
      </c>
      <c r="F514" s="8">
        <f>ROUND(F513+E514,5)</f>
        <v>400000</v>
      </c>
    </row>
    <row r="515" spans="1:6" x14ac:dyDescent="0.25">
      <c r="A515" s="2" t="s">
        <v>674</v>
      </c>
      <c r="B515" s="2" t="s">
        <v>243</v>
      </c>
      <c r="C515" s="2"/>
      <c r="D515" s="6"/>
      <c r="E515" s="3"/>
      <c r="F515" s="3">
        <v>65000</v>
      </c>
    </row>
    <row r="516" spans="1:6" x14ac:dyDescent="0.25">
      <c r="A516" s="2" t="s">
        <v>675</v>
      </c>
      <c r="B516" s="2" t="s">
        <v>244</v>
      </c>
      <c r="C516" s="2"/>
      <c r="D516" s="6"/>
      <c r="E516" s="3"/>
      <c r="F516" s="3">
        <v>850500</v>
      </c>
    </row>
    <row r="517" spans="1:6" x14ac:dyDescent="0.25">
      <c r="A517" s="4" t="s">
        <v>675</v>
      </c>
      <c r="B517" s="4" t="s">
        <v>171</v>
      </c>
      <c r="C517" s="4"/>
      <c r="D517" s="7">
        <v>45306</v>
      </c>
      <c r="E517" s="5">
        <v>0</v>
      </c>
      <c r="F517" s="5">
        <f>ROUND(F516+E517,5)</f>
        <v>850500</v>
      </c>
    </row>
    <row r="518" spans="1:6" ht="15.75" thickBot="1" x14ac:dyDescent="0.3">
      <c r="A518" s="4" t="s">
        <v>675</v>
      </c>
      <c r="B518" s="4" t="s">
        <v>171</v>
      </c>
      <c r="C518" s="4"/>
      <c r="D518" s="7">
        <v>45306</v>
      </c>
      <c r="E518" s="8">
        <v>300000</v>
      </c>
      <c r="F518" s="8">
        <f>ROUND(F517+E518,5)</f>
        <v>1150500</v>
      </c>
    </row>
    <row r="519" spans="1:6" x14ac:dyDescent="0.25">
      <c r="A519" s="2" t="s">
        <v>676</v>
      </c>
      <c r="B519" s="2" t="s">
        <v>245</v>
      </c>
      <c r="C519" s="2"/>
      <c r="D519" s="6"/>
      <c r="E519" s="3"/>
      <c r="F519" s="3">
        <v>0</v>
      </c>
    </row>
    <row r="520" spans="1:6" x14ac:dyDescent="0.25">
      <c r="A520" s="2" t="s">
        <v>677</v>
      </c>
      <c r="B520" s="2" t="s">
        <v>246</v>
      </c>
      <c r="C520" s="2"/>
      <c r="D520" s="6"/>
      <c r="E520" s="3"/>
      <c r="F520" s="3">
        <v>400000</v>
      </c>
    </row>
    <row r="521" spans="1:6" x14ac:dyDescent="0.25">
      <c r="A521" s="2" t="s">
        <v>678</v>
      </c>
      <c r="B521" s="2" t="s">
        <v>247</v>
      </c>
      <c r="C521" s="2"/>
      <c r="D521" s="6"/>
      <c r="E521" s="3"/>
      <c r="F521" s="3">
        <v>400000</v>
      </c>
    </row>
    <row r="522" spans="1:6" x14ac:dyDescent="0.25">
      <c r="A522" s="2" t="s">
        <v>679</v>
      </c>
      <c r="B522" s="2" t="s">
        <v>248</v>
      </c>
      <c r="C522" s="2"/>
      <c r="D522" s="6"/>
      <c r="E522" s="3"/>
      <c r="F522" s="3">
        <v>305000</v>
      </c>
    </row>
    <row r="523" spans="1:6" ht="15.75" thickBot="1" x14ac:dyDescent="0.3">
      <c r="A523" s="1" t="s">
        <v>679</v>
      </c>
      <c r="B523" s="4" t="s">
        <v>170</v>
      </c>
      <c r="C523" s="4"/>
      <c r="D523" s="7">
        <v>45301</v>
      </c>
      <c r="E523" s="8">
        <v>-305000</v>
      </c>
      <c r="F523" s="8">
        <f>ROUND(F522+E523,5)</f>
        <v>0</v>
      </c>
    </row>
    <row r="524" spans="1:6" x14ac:dyDescent="0.25">
      <c r="A524" s="2" t="s">
        <v>680</v>
      </c>
      <c r="B524" s="2" t="s">
        <v>249</v>
      </c>
      <c r="C524" s="2"/>
      <c r="D524" s="6"/>
      <c r="E524" s="3"/>
      <c r="F524" s="3">
        <v>1350000</v>
      </c>
    </row>
    <row r="525" spans="1:6" x14ac:dyDescent="0.25">
      <c r="A525" s="2" t="s">
        <v>681</v>
      </c>
      <c r="B525" s="2" t="s">
        <v>250</v>
      </c>
      <c r="C525" s="2"/>
      <c r="D525" s="6"/>
      <c r="E525" s="3"/>
      <c r="F525" s="3">
        <v>0</v>
      </c>
    </row>
    <row r="526" spans="1:6" x14ac:dyDescent="0.25">
      <c r="A526" s="4" t="s">
        <v>681</v>
      </c>
      <c r="B526" s="4" t="s">
        <v>171</v>
      </c>
      <c r="C526" s="4"/>
      <c r="D526" s="7">
        <v>45337</v>
      </c>
      <c r="E526" s="5">
        <v>65000</v>
      </c>
      <c r="F526" s="5">
        <f>ROUND(F525+E526,5)</f>
        <v>65000</v>
      </c>
    </row>
    <row r="527" spans="1:6" ht="15.75" thickBot="1" x14ac:dyDescent="0.3">
      <c r="A527" s="4" t="s">
        <v>681</v>
      </c>
      <c r="B527" s="4" t="s">
        <v>172</v>
      </c>
      <c r="C527" s="4"/>
      <c r="D527" s="7">
        <v>45337</v>
      </c>
      <c r="E527" s="8">
        <v>-65000</v>
      </c>
      <c r="F527" s="8">
        <f>ROUND(F526+E527,5)</f>
        <v>0</v>
      </c>
    </row>
    <row r="528" spans="1:6" x14ac:dyDescent="0.25">
      <c r="A528" s="2" t="s">
        <v>682</v>
      </c>
      <c r="B528" s="2" t="s">
        <v>251</v>
      </c>
      <c r="C528" s="2"/>
      <c r="D528" s="6"/>
      <c r="E528" s="3"/>
      <c r="F528" s="3">
        <v>430000</v>
      </c>
    </row>
    <row r="529" spans="1:6" x14ac:dyDescent="0.25">
      <c r="A529" s="2" t="s">
        <v>683</v>
      </c>
      <c r="B529" s="2" t="s">
        <v>252</v>
      </c>
      <c r="C529" s="2"/>
      <c r="D529" s="6"/>
      <c r="E529" s="3"/>
      <c r="F529" s="3">
        <v>150000</v>
      </c>
    </row>
    <row r="530" spans="1:6" ht="15.75" thickBot="1" x14ac:dyDescent="0.3">
      <c r="A530" s="1" t="s">
        <v>683</v>
      </c>
      <c r="B530" s="4" t="s">
        <v>170</v>
      </c>
      <c r="C530" s="4"/>
      <c r="D530" s="7">
        <v>45383</v>
      </c>
      <c r="E530" s="8">
        <v>-150000</v>
      </c>
      <c r="F530" s="8">
        <f>ROUND(F529+E530,5)</f>
        <v>0</v>
      </c>
    </row>
    <row r="531" spans="1:6" x14ac:dyDescent="0.25">
      <c r="A531" s="2" t="s">
        <v>684</v>
      </c>
      <c r="B531" s="2" t="s">
        <v>253</v>
      </c>
      <c r="C531" s="2"/>
      <c r="D531" s="6"/>
      <c r="E531" s="3"/>
      <c r="F531" s="3">
        <v>0</v>
      </c>
    </row>
    <row r="532" spans="1:6" x14ac:dyDescent="0.25">
      <c r="A532" s="4" t="s">
        <v>684</v>
      </c>
      <c r="B532" s="4" t="s">
        <v>171</v>
      </c>
      <c r="C532" s="4"/>
      <c r="D532" s="7">
        <v>45306</v>
      </c>
      <c r="E532" s="5">
        <v>425000</v>
      </c>
      <c r="F532" s="5">
        <f>ROUND(F531+E532,5)</f>
        <v>425000</v>
      </c>
    </row>
    <row r="533" spans="1:6" ht="15.75" thickBot="1" x14ac:dyDescent="0.3">
      <c r="A533" s="4" t="s">
        <v>684</v>
      </c>
      <c r="B533" s="4" t="s">
        <v>170</v>
      </c>
      <c r="C533" s="4"/>
      <c r="D533" s="7">
        <v>45367</v>
      </c>
      <c r="E533" s="8">
        <v>-25000</v>
      </c>
      <c r="F533" s="8">
        <f>ROUND(F532+E533,5)</f>
        <v>400000</v>
      </c>
    </row>
    <row r="534" spans="1:6" x14ac:dyDescent="0.25">
      <c r="A534" s="2" t="s">
        <v>685</v>
      </c>
      <c r="B534" s="2" t="s">
        <v>254</v>
      </c>
      <c r="C534" s="2"/>
      <c r="D534" s="6"/>
      <c r="E534" s="3"/>
      <c r="F534" s="3">
        <v>0</v>
      </c>
    </row>
    <row r="535" spans="1:6" x14ac:dyDescent="0.25">
      <c r="A535" s="4" t="s">
        <v>685</v>
      </c>
      <c r="B535" s="4" t="s">
        <v>171</v>
      </c>
      <c r="C535" s="4"/>
      <c r="D535" s="7">
        <v>45306</v>
      </c>
      <c r="E535" s="5">
        <v>300000</v>
      </c>
      <c r="F535" s="5">
        <f>ROUND(F534+E535,5)</f>
        <v>300000</v>
      </c>
    </row>
    <row r="536" spans="1:6" ht="15.75" thickBot="1" x14ac:dyDescent="0.3">
      <c r="A536" s="4" t="s">
        <v>685</v>
      </c>
      <c r="B536" s="4" t="s">
        <v>170</v>
      </c>
      <c r="C536" s="4"/>
      <c r="D536" s="7">
        <v>45405</v>
      </c>
      <c r="E536" s="8">
        <v>-300000</v>
      </c>
      <c r="F536" s="8">
        <f>ROUND(F535+E536,5)</f>
        <v>0</v>
      </c>
    </row>
    <row r="537" spans="1:6" x14ac:dyDescent="0.25">
      <c r="A537" s="2" t="s">
        <v>686</v>
      </c>
      <c r="B537" s="2" t="s">
        <v>255</v>
      </c>
      <c r="C537" s="2"/>
      <c r="D537" s="6"/>
      <c r="E537" s="3"/>
      <c r="F537" s="3">
        <v>65000</v>
      </c>
    </row>
    <row r="538" spans="1:6" ht="15.75" thickBot="1" x14ac:dyDescent="0.3">
      <c r="A538" s="1" t="s">
        <v>686</v>
      </c>
      <c r="B538" s="4" t="s">
        <v>170</v>
      </c>
      <c r="C538" s="4"/>
      <c r="D538" s="7">
        <v>45365</v>
      </c>
      <c r="E538" s="8">
        <v>-65000</v>
      </c>
      <c r="F538" s="8">
        <f>ROUND(F537+E538,5)</f>
        <v>0</v>
      </c>
    </row>
    <row r="539" spans="1:6" x14ac:dyDescent="0.25">
      <c r="A539" s="2" t="s">
        <v>687</v>
      </c>
      <c r="B539" s="2" t="s">
        <v>256</v>
      </c>
      <c r="C539" s="2"/>
      <c r="D539" s="6"/>
      <c r="E539" s="3"/>
      <c r="F539" s="3">
        <v>600000</v>
      </c>
    </row>
    <row r="540" spans="1:6" ht="15.75" thickBot="1" x14ac:dyDescent="0.3">
      <c r="A540" s="1" t="s">
        <v>687</v>
      </c>
      <c r="B540" s="4" t="s">
        <v>171</v>
      </c>
      <c r="C540" s="4"/>
      <c r="D540" s="7">
        <v>45306</v>
      </c>
      <c r="E540" s="8">
        <v>300000</v>
      </c>
      <c r="F540" s="8">
        <f>ROUND(F539+E540,5)</f>
        <v>900000</v>
      </c>
    </row>
    <row r="541" spans="1:6" x14ac:dyDescent="0.25">
      <c r="A541" s="2" t="s">
        <v>688</v>
      </c>
      <c r="B541" s="2" t="s">
        <v>257</v>
      </c>
      <c r="C541" s="2"/>
      <c r="D541" s="6"/>
      <c r="E541" s="3"/>
      <c r="F541" s="3">
        <v>0</v>
      </c>
    </row>
    <row r="542" spans="1:6" x14ac:dyDescent="0.25">
      <c r="A542" s="4" t="s">
        <v>688</v>
      </c>
      <c r="B542" s="4" t="s">
        <v>171</v>
      </c>
      <c r="C542" s="4"/>
      <c r="D542" s="7">
        <v>45306</v>
      </c>
      <c r="E542" s="5">
        <v>425000</v>
      </c>
      <c r="F542" s="5">
        <f>ROUND(F541+E542,5)</f>
        <v>425000</v>
      </c>
    </row>
    <row r="543" spans="1:6" x14ac:dyDescent="0.25">
      <c r="A543" s="4" t="s">
        <v>688</v>
      </c>
      <c r="B543" s="4" t="s">
        <v>170</v>
      </c>
      <c r="C543" s="4"/>
      <c r="D543" s="7">
        <v>45314</v>
      </c>
      <c r="E543" s="5">
        <v>-25000</v>
      </c>
      <c r="F543" s="5">
        <f>ROUND(F542+E543,5)</f>
        <v>400000</v>
      </c>
    </row>
    <row r="544" spans="1:6" ht="15.75" thickBot="1" x14ac:dyDescent="0.3">
      <c r="A544" s="4" t="s">
        <v>688</v>
      </c>
      <c r="B544" s="4" t="s">
        <v>170</v>
      </c>
      <c r="C544" s="4"/>
      <c r="D544" s="7">
        <v>45439</v>
      </c>
      <c r="E544" s="8">
        <v>-300000</v>
      </c>
      <c r="F544" s="8">
        <f>ROUND(F543+E544,5)</f>
        <v>100000</v>
      </c>
    </row>
    <row r="545" spans="1:6" x14ac:dyDescent="0.25">
      <c r="A545" s="2" t="s">
        <v>689</v>
      </c>
      <c r="B545" s="2" t="s">
        <v>258</v>
      </c>
      <c r="C545" s="2"/>
      <c r="D545" s="6"/>
      <c r="E545" s="3"/>
      <c r="F545" s="3">
        <v>0</v>
      </c>
    </row>
    <row r="546" spans="1:6" x14ac:dyDescent="0.25">
      <c r="A546" s="4" t="s">
        <v>689</v>
      </c>
      <c r="B546" s="4" t="s">
        <v>171</v>
      </c>
      <c r="C546" s="4"/>
      <c r="D546" s="7">
        <v>45306</v>
      </c>
      <c r="E546" s="5">
        <v>325000</v>
      </c>
      <c r="F546" s="5">
        <f>ROUND(F545+E546,5)</f>
        <v>325000</v>
      </c>
    </row>
    <row r="547" spans="1:6" x14ac:dyDescent="0.25">
      <c r="A547" s="4" t="s">
        <v>689</v>
      </c>
      <c r="B547" s="4" t="s">
        <v>170</v>
      </c>
      <c r="C547" s="4"/>
      <c r="D547" s="7">
        <v>45316</v>
      </c>
      <c r="E547" s="5">
        <v>-25000</v>
      </c>
      <c r="F547" s="5">
        <f>ROUND(F546+E547,5)</f>
        <v>300000</v>
      </c>
    </row>
    <row r="548" spans="1:6" x14ac:dyDescent="0.25">
      <c r="A548" s="4" t="s">
        <v>689</v>
      </c>
      <c r="B548" s="4" t="s">
        <v>170</v>
      </c>
      <c r="C548" s="4"/>
      <c r="D548" s="7">
        <v>45321</v>
      </c>
      <c r="E548" s="5">
        <v>-120000</v>
      </c>
      <c r="F548" s="5">
        <f>ROUND(F547+E548,5)</f>
        <v>180000</v>
      </c>
    </row>
    <row r="549" spans="1:6" ht="15.75" thickBot="1" x14ac:dyDescent="0.3">
      <c r="A549" s="4" t="s">
        <v>689</v>
      </c>
      <c r="B549" s="4" t="s">
        <v>170</v>
      </c>
      <c r="C549" s="4"/>
      <c r="D549" s="7">
        <v>45370</v>
      </c>
      <c r="E549" s="8">
        <v>-50000</v>
      </c>
      <c r="F549" s="8">
        <f>ROUND(F548+E549,5)</f>
        <v>130000</v>
      </c>
    </row>
    <row r="550" spans="1:6" x14ac:dyDescent="0.25">
      <c r="A550" s="2" t="s">
        <v>690</v>
      </c>
      <c r="B550" s="2" t="s">
        <v>259</v>
      </c>
      <c r="C550" s="2"/>
      <c r="D550" s="6"/>
      <c r="E550" s="3"/>
      <c r="F550" s="3">
        <v>0</v>
      </c>
    </row>
    <row r="551" spans="1:6" x14ac:dyDescent="0.25">
      <c r="A551" s="4" t="s">
        <v>690</v>
      </c>
      <c r="B551" s="4" t="s">
        <v>171</v>
      </c>
      <c r="C551" s="4"/>
      <c r="D551" s="7">
        <v>45306</v>
      </c>
      <c r="E551" s="5">
        <v>325000</v>
      </c>
      <c r="F551" s="5">
        <f>ROUND(F550+E551,5)</f>
        <v>325000</v>
      </c>
    </row>
    <row r="552" spans="1:6" x14ac:dyDescent="0.25">
      <c r="A552" s="4" t="s">
        <v>690</v>
      </c>
      <c r="B552" s="4" t="s">
        <v>170</v>
      </c>
      <c r="C552" s="4"/>
      <c r="D552" s="7">
        <v>45316</v>
      </c>
      <c r="E552" s="5">
        <v>-25000</v>
      </c>
      <c r="F552" s="5">
        <f>ROUND(F551+E552,5)</f>
        <v>300000</v>
      </c>
    </row>
    <row r="553" spans="1:6" ht="15.75" thickBot="1" x14ac:dyDescent="0.3">
      <c r="A553" s="4" t="s">
        <v>690</v>
      </c>
      <c r="B553" s="4" t="s">
        <v>170</v>
      </c>
      <c r="C553" s="4"/>
      <c r="D553" s="7">
        <v>45344</v>
      </c>
      <c r="E553" s="8">
        <v>-200000</v>
      </c>
      <c r="F553" s="8">
        <f>ROUND(F552+E553,5)</f>
        <v>100000</v>
      </c>
    </row>
    <row r="554" spans="1:6" x14ac:dyDescent="0.25">
      <c r="A554" s="2" t="s">
        <v>691</v>
      </c>
      <c r="B554" s="2" t="s">
        <v>260</v>
      </c>
      <c r="C554" s="2"/>
      <c r="D554" s="6"/>
      <c r="E554" s="3"/>
      <c r="F554" s="3">
        <v>0</v>
      </c>
    </row>
    <row r="555" spans="1:6" x14ac:dyDescent="0.25">
      <c r="A555" s="4" t="s">
        <v>691</v>
      </c>
      <c r="B555" s="4" t="s">
        <v>173</v>
      </c>
      <c r="C555" s="4"/>
      <c r="D555" s="7">
        <v>45302</v>
      </c>
      <c r="E555" s="5">
        <v>-25000</v>
      </c>
      <c r="F555" s="5">
        <f>ROUND(F554+E555,5)</f>
        <v>-25000</v>
      </c>
    </row>
    <row r="556" spans="1:6" ht="15.75" thickBot="1" x14ac:dyDescent="0.3">
      <c r="A556" s="4" t="s">
        <v>691</v>
      </c>
      <c r="B556" s="4" t="s">
        <v>171</v>
      </c>
      <c r="C556" s="4"/>
      <c r="D556" s="7">
        <v>45306</v>
      </c>
      <c r="E556" s="8">
        <v>325000</v>
      </c>
      <c r="F556" s="8">
        <f>ROUND(F555+E556,5)</f>
        <v>300000</v>
      </c>
    </row>
    <row r="557" spans="1:6" x14ac:dyDescent="0.25">
      <c r="A557" s="2" t="s">
        <v>692</v>
      </c>
      <c r="B557" s="2" t="s">
        <v>261</v>
      </c>
      <c r="C557" s="2"/>
      <c r="D557" s="6"/>
      <c r="E557" s="3"/>
      <c r="F557" s="3">
        <v>150000</v>
      </c>
    </row>
    <row r="558" spans="1:6" x14ac:dyDescent="0.25">
      <c r="A558" s="4" t="s">
        <v>692</v>
      </c>
      <c r="B558" s="4" t="s">
        <v>171</v>
      </c>
      <c r="C558" s="4"/>
      <c r="D558" s="7">
        <v>45322</v>
      </c>
      <c r="E558" s="5">
        <v>300000</v>
      </c>
      <c r="F558" s="5">
        <f>ROUND(F557+E558,5)</f>
        <v>450000</v>
      </c>
    </row>
    <row r="559" spans="1:6" ht="15.75" thickBot="1" x14ac:dyDescent="0.3">
      <c r="A559" s="4" t="s">
        <v>692</v>
      </c>
      <c r="B559" s="4" t="s">
        <v>170</v>
      </c>
      <c r="C559" s="4"/>
      <c r="D559" s="7">
        <v>45349</v>
      </c>
      <c r="E559" s="8">
        <v>-150000</v>
      </c>
      <c r="F559" s="8">
        <f>ROUND(F558+E559,5)</f>
        <v>300000</v>
      </c>
    </row>
    <row r="560" spans="1:6" x14ac:dyDescent="0.25">
      <c r="A560" s="2" t="s">
        <v>693</v>
      </c>
      <c r="B560" s="2" t="s">
        <v>262</v>
      </c>
      <c r="C560" s="2"/>
      <c r="D560" s="6"/>
      <c r="E560" s="3"/>
      <c r="F560" s="3">
        <v>0</v>
      </c>
    </row>
    <row r="561" spans="1:6" x14ac:dyDescent="0.25">
      <c r="A561" s="2" t="s">
        <v>694</v>
      </c>
      <c r="B561" s="2" t="s">
        <v>263</v>
      </c>
      <c r="C561" s="2"/>
      <c r="D561" s="6"/>
      <c r="E561" s="3"/>
      <c r="F561" s="3">
        <v>0</v>
      </c>
    </row>
    <row r="562" spans="1:6" ht="15.75" thickBot="1" x14ac:dyDescent="0.3">
      <c r="A562" s="1" t="s">
        <v>694</v>
      </c>
      <c r="B562" s="4" t="s">
        <v>171</v>
      </c>
      <c r="C562" s="4"/>
      <c r="D562" s="7">
        <v>45306</v>
      </c>
      <c r="E562" s="8">
        <v>425000</v>
      </c>
      <c r="F562" s="8">
        <f>ROUND(F561+E562,5)</f>
        <v>425000</v>
      </c>
    </row>
    <row r="563" spans="1:6" x14ac:dyDescent="0.25">
      <c r="A563" s="2" t="s">
        <v>695</v>
      </c>
      <c r="B563" s="2" t="s">
        <v>264</v>
      </c>
      <c r="C563" s="2"/>
      <c r="D563" s="6"/>
      <c r="E563" s="3"/>
      <c r="F563" s="3">
        <v>64750</v>
      </c>
    </row>
    <row r="564" spans="1:6" x14ac:dyDescent="0.25">
      <c r="A564" s="4" t="s">
        <v>695</v>
      </c>
      <c r="B564" s="4" t="s">
        <v>171</v>
      </c>
      <c r="C564" s="4"/>
      <c r="D564" s="7">
        <v>45306</v>
      </c>
      <c r="E564" s="5">
        <v>300000</v>
      </c>
      <c r="F564" s="5">
        <f>ROUND(F563+E564,5)</f>
        <v>364750</v>
      </c>
    </row>
    <row r="565" spans="1:6" ht="15.75" thickBot="1" x14ac:dyDescent="0.3">
      <c r="A565" s="4" t="s">
        <v>695</v>
      </c>
      <c r="B565" s="4" t="s">
        <v>172</v>
      </c>
      <c r="C565" s="4"/>
      <c r="D565" s="7">
        <v>45306</v>
      </c>
      <c r="E565" s="8">
        <v>-446738</v>
      </c>
      <c r="F565" s="8">
        <f>ROUND(F564+E565,5)</f>
        <v>-81988</v>
      </c>
    </row>
    <row r="566" spans="1:6" x14ac:dyDescent="0.25">
      <c r="A566" s="2" t="s">
        <v>696</v>
      </c>
      <c r="B566" s="2" t="s">
        <v>265</v>
      </c>
      <c r="C566" s="2"/>
      <c r="D566" s="6"/>
      <c r="E566" s="3"/>
      <c r="F566" s="3">
        <v>65000</v>
      </c>
    </row>
    <row r="567" spans="1:6" ht="15.75" thickBot="1" x14ac:dyDescent="0.3">
      <c r="A567" s="1" t="s">
        <v>696</v>
      </c>
      <c r="B567" s="4" t="s">
        <v>172</v>
      </c>
      <c r="C567" s="4"/>
      <c r="D567" s="7">
        <v>45292</v>
      </c>
      <c r="E567" s="8">
        <v>-25000</v>
      </c>
      <c r="F567" s="8">
        <f>ROUND(F566+E567,5)</f>
        <v>40000</v>
      </c>
    </row>
    <row r="568" spans="1:6" x14ac:dyDescent="0.25">
      <c r="A568" s="2" t="s">
        <v>697</v>
      </c>
      <c r="B568" s="2" t="s">
        <v>266</v>
      </c>
      <c r="C568" s="2"/>
      <c r="D568" s="6"/>
      <c r="E568" s="3"/>
      <c r="F568" s="3">
        <v>65000</v>
      </c>
    </row>
    <row r="569" spans="1:6" ht="15.75" thickBot="1" x14ac:dyDescent="0.3">
      <c r="A569" s="1" t="s">
        <v>697</v>
      </c>
      <c r="B569" s="4" t="s">
        <v>170</v>
      </c>
      <c r="C569" s="4"/>
      <c r="D569" s="7">
        <v>45359</v>
      </c>
      <c r="E569" s="8">
        <v>-65000</v>
      </c>
      <c r="F569" s="8">
        <f>ROUND(F568+E569,5)</f>
        <v>0</v>
      </c>
    </row>
    <row r="570" spans="1:6" x14ac:dyDescent="0.25">
      <c r="A570" s="2" t="s">
        <v>698</v>
      </c>
      <c r="B570" s="2" t="s">
        <v>267</v>
      </c>
      <c r="C570" s="2"/>
      <c r="D570" s="6"/>
      <c r="E570" s="3"/>
      <c r="F570" s="3">
        <v>400000</v>
      </c>
    </row>
    <row r="571" spans="1:6" x14ac:dyDescent="0.25">
      <c r="A571" s="2" t="s">
        <v>699</v>
      </c>
      <c r="B571" s="2" t="s">
        <v>268</v>
      </c>
      <c r="C571" s="2"/>
      <c r="D571" s="6"/>
      <c r="E571" s="3"/>
      <c r="F571" s="3">
        <v>0</v>
      </c>
    </row>
    <row r="572" spans="1:6" x14ac:dyDescent="0.25">
      <c r="A572" s="2"/>
      <c r="B572" s="2" t="s">
        <v>269</v>
      </c>
      <c r="C572" s="2"/>
      <c r="D572" s="6"/>
      <c r="E572" s="3"/>
      <c r="F572" s="3">
        <v>0</v>
      </c>
    </row>
    <row r="573" spans="1:6" x14ac:dyDescent="0.25">
      <c r="A573" s="2" t="s">
        <v>700</v>
      </c>
      <c r="B573" s="2" t="s">
        <v>270</v>
      </c>
      <c r="C573" s="2"/>
      <c r="D573" s="6"/>
      <c r="E573" s="3"/>
      <c r="F573" s="3">
        <v>528571</v>
      </c>
    </row>
    <row r="574" spans="1:6" ht="15.75" thickBot="1" x14ac:dyDescent="0.3">
      <c r="A574" s="1" t="s">
        <v>700</v>
      </c>
      <c r="B574" s="4" t="s">
        <v>170</v>
      </c>
      <c r="C574" s="4"/>
      <c r="D574" s="7">
        <v>45301</v>
      </c>
      <c r="E574" s="8">
        <v>-80000</v>
      </c>
      <c r="F574" s="8">
        <f>ROUND(F573+E574,5)</f>
        <v>448571</v>
      </c>
    </row>
    <row r="575" spans="1:6" x14ac:dyDescent="0.25">
      <c r="A575" s="2" t="s">
        <v>701</v>
      </c>
      <c r="B575" s="2" t="s">
        <v>271</v>
      </c>
      <c r="C575" s="2"/>
      <c r="D575" s="6"/>
      <c r="E575" s="3"/>
      <c r="F575" s="3">
        <v>0</v>
      </c>
    </row>
    <row r="576" spans="1:6" x14ac:dyDescent="0.25">
      <c r="A576" s="4" t="s">
        <v>701</v>
      </c>
      <c r="B576" s="4" t="s">
        <v>170</v>
      </c>
      <c r="C576" s="4"/>
      <c r="D576" s="7">
        <v>45348</v>
      </c>
      <c r="E576" s="5">
        <v>-150000</v>
      </c>
      <c r="F576" s="5">
        <f>ROUND(F575+E576,5)</f>
        <v>-150000</v>
      </c>
    </row>
    <row r="577" spans="1:6" ht="15.75" thickBot="1" x14ac:dyDescent="0.3">
      <c r="A577" s="4" t="s">
        <v>701</v>
      </c>
      <c r="B577" s="4" t="s">
        <v>170</v>
      </c>
      <c r="C577" s="4"/>
      <c r="D577" s="7">
        <v>45435</v>
      </c>
      <c r="E577" s="8">
        <v>-150000</v>
      </c>
      <c r="F577" s="8">
        <f>ROUND(F576+E577,5)</f>
        <v>-300000</v>
      </c>
    </row>
    <row r="578" spans="1:6" x14ac:dyDescent="0.25">
      <c r="A578" s="2" t="s">
        <v>702</v>
      </c>
      <c r="B578" s="2" t="s">
        <v>272</v>
      </c>
      <c r="C578" s="2"/>
      <c r="D578" s="6"/>
      <c r="E578" s="3"/>
      <c r="F578" s="3">
        <v>-488</v>
      </c>
    </row>
    <row r="579" spans="1:6" x14ac:dyDescent="0.25">
      <c r="A579" s="2" t="s">
        <v>703</v>
      </c>
      <c r="B579" s="2" t="s">
        <v>273</v>
      </c>
      <c r="C579" s="2"/>
      <c r="D579" s="6"/>
      <c r="E579" s="3"/>
      <c r="F579" s="3">
        <v>400000</v>
      </c>
    </row>
    <row r="580" spans="1:6" ht="15.75" thickBot="1" x14ac:dyDescent="0.3">
      <c r="A580" s="1" t="s">
        <v>703</v>
      </c>
      <c r="B580" s="4" t="s">
        <v>171</v>
      </c>
      <c r="C580" s="4"/>
      <c r="D580" s="7">
        <v>45322</v>
      </c>
      <c r="E580" s="8">
        <v>400000</v>
      </c>
      <c r="F580" s="8">
        <f>ROUND(F579+E580,5)</f>
        <v>800000</v>
      </c>
    </row>
    <row r="581" spans="1:6" x14ac:dyDescent="0.25">
      <c r="A581" s="2" t="s">
        <v>704</v>
      </c>
      <c r="B581" s="2" t="s">
        <v>274</v>
      </c>
      <c r="C581" s="2"/>
      <c r="D581" s="6"/>
      <c r="E581" s="3"/>
      <c r="F581" s="3">
        <v>0</v>
      </c>
    </row>
    <row r="582" spans="1:6" x14ac:dyDescent="0.25">
      <c r="A582" s="4" t="s">
        <v>704</v>
      </c>
      <c r="B582" s="4" t="s">
        <v>171</v>
      </c>
      <c r="C582" s="4"/>
      <c r="D582" s="7">
        <v>45306</v>
      </c>
      <c r="E582" s="5">
        <v>425000</v>
      </c>
      <c r="F582" s="5">
        <f>ROUND(F581+E582,5)</f>
        <v>425000</v>
      </c>
    </row>
    <row r="583" spans="1:6" x14ac:dyDescent="0.25">
      <c r="A583" s="4" t="s">
        <v>704</v>
      </c>
      <c r="B583" s="4" t="s">
        <v>170</v>
      </c>
      <c r="C583" s="4"/>
      <c r="D583" s="7">
        <v>45370</v>
      </c>
      <c r="E583" s="5">
        <v>-300000</v>
      </c>
      <c r="F583" s="5">
        <f>ROUND(F582+E583,5)</f>
        <v>125000</v>
      </c>
    </row>
    <row r="584" spans="1:6" ht="15.75" thickBot="1" x14ac:dyDescent="0.3">
      <c r="A584" s="4" t="s">
        <v>704</v>
      </c>
      <c r="B584" s="4" t="s">
        <v>170</v>
      </c>
      <c r="C584" s="4"/>
      <c r="D584" s="7">
        <v>45391</v>
      </c>
      <c r="E584" s="8">
        <v>-100000</v>
      </c>
      <c r="F584" s="8">
        <f>ROUND(F583+E584,5)</f>
        <v>25000</v>
      </c>
    </row>
    <row r="585" spans="1:6" x14ac:dyDescent="0.25">
      <c r="A585" s="2" t="s">
        <v>705</v>
      </c>
      <c r="B585" s="2" t="s">
        <v>275</v>
      </c>
      <c r="C585" s="2"/>
      <c r="D585" s="6"/>
      <c r="E585" s="3"/>
      <c r="F585" s="3">
        <v>162000</v>
      </c>
    </row>
    <row r="586" spans="1:6" x14ac:dyDescent="0.25">
      <c r="A586" s="4" t="s">
        <v>705</v>
      </c>
      <c r="B586" s="4" t="s">
        <v>171</v>
      </c>
      <c r="C586" s="4"/>
      <c r="D586" s="7">
        <v>45306</v>
      </c>
      <c r="E586" s="5">
        <v>300000</v>
      </c>
      <c r="F586" s="5">
        <f>ROUND(F585+E586,5)</f>
        <v>462000</v>
      </c>
    </row>
    <row r="587" spans="1:6" ht="15.75" thickBot="1" x14ac:dyDescent="0.3">
      <c r="A587" s="4" t="s">
        <v>705</v>
      </c>
      <c r="B587" s="4" t="s">
        <v>170</v>
      </c>
      <c r="C587" s="4"/>
      <c r="D587" s="7">
        <v>45343</v>
      </c>
      <c r="E587" s="8">
        <v>-50000</v>
      </c>
      <c r="F587" s="8">
        <f>ROUND(F586+E587,5)</f>
        <v>412000</v>
      </c>
    </row>
    <row r="588" spans="1:6" x14ac:dyDescent="0.25">
      <c r="A588" s="2" t="s">
        <v>706</v>
      </c>
      <c r="B588" s="2" t="s">
        <v>276</v>
      </c>
      <c r="C588" s="2"/>
      <c r="D588" s="6"/>
      <c r="E588" s="3"/>
      <c r="F588" s="3">
        <v>700250</v>
      </c>
    </row>
    <row r="589" spans="1:6" x14ac:dyDescent="0.25">
      <c r="A589" s="2" t="s">
        <v>707</v>
      </c>
      <c r="B589" s="2" t="s">
        <v>277</v>
      </c>
      <c r="C589" s="2"/>
      <c r="D589" s="6"/>
      <c r="E589" s="3"/>
      <c r="F589" s="3">
        <v>625000</v>
      </c>
    </row>
    <row r="590" spans="1:6" x14ac:dyDescent="0.25">
      <c r="A590" s="4" t="s">
        <v>707</v>
      </c>
      <c r="B590" s="4" t="s">
        <v>170</v>
      </c>
      <c r="C590" s="4"/>
      <c r="D590" s="7">
        <v>45297</v>
      </c>
      <c r="E590" s="5">
        <v>-80000</v>
      </c>
      <c r="F590" s="5">
        <f>ROUND(F589+E590,5)</f>
        <v>545000</v>
      </c>
    </row>
    <row r="591" spans="1:6" ht="15.75" thickBot="1" x14ac:dyDescent="0.3">
      <c r="A591" s="4" t="s">
        <v>707</v>
      </c>
      <c r="B591" s="4" t="s">
        <v>170</v>
      </c>
      <c r="C591" s="4"/>
      <c r="D591" s="7">
        <v>45331</v>
      </c>
      <c r="E591" s="8">
        <v>-80000</v>
      </c>
      <c r="F591" s="8">
        <f>ROUND(F590+E591,5)</f>
        <v>465000</v>
      </c>
    </row>
    <row r="592" spans="1:6" x14ac:dyDescent="0.25">
      <c r="A592" s="2" t="s">
        <v>708</v>
      </c>
      <c r="B592" s="2" t="s">
        <v>278</v>
      </c>
      <c r="C592" s="2"/>
      <c r="D592" s="6"/>
      <c r="E592" s="3"/>
      <c r="F592" s="3">
        <v>0</v>
      </c>
    </row>
    <row r="593" spans="1:6" x14ac:dyDescent="0.25">
      <c r="A593" s="2" t="s">
        <v>709</v>
      </c>
      <c r="B593" s="2" t="s">
        <v>279</v>
      </c>
      <c r="C593" s="2"/>
      <c r="D593" s="6"/>
      <c r="E593" s="3"/>
      <c r="F593" s="3">
        <v>500000</v>
      </c>
    </row>
    <row r="594" spans="1:6" x14ac:dyDescent="0.25">
      <c r="A594" s="2" t="s">
        <v>710</v>
      </c>
      <c r="B594" s="2" t="s">
        <v>280</v>
      </c>
      <c r="C594" s="2"/>
      <c r="D594" s="6"/>
      <c r="E594" s="3"/>
      <c r="F594" s="3">
        <v>465000</v>
      </c>
    </row>
    <row r="595" spans="1:6" x14ac:dyDescent="0.25">
      <c r="A595" s="4" t="s">
        <v>710</v>
      </c>
      <c r="B595" s="4" t="s">
        <v>170</v>
      </c>
      <c r="C595" s="4"/>
      <c r="D595" s="7">
        <v>45337</v>
      </c>
      <c r="E595" s="5">
        <v>-465000</v>
      </c>
      <c r="F595" s="5">
        <f>ROUND(F594+E595,5)</f>
        <v>0</v>
      </c>
    </row>
    <row r="596" spans="1:6" x14ac:dyDescent="0.25">
      <c r="A596" s="4" t="s">
        <v>710</v>
      </c>
      <c r="B596" s="4" t="s">
        <v>171</v>
      </c>
      <c r="C596" s="4"/>
      <c r="D596" s="7">
        <v>45386</v>
      </c>
      <c r="E596" s="5">
        <v>120000</v>
      </c>
      <c r="F596" s="5">
        <f>ROUND(F595+E596,5)</f>
        <v>120000</v>
      </c>
    </row>
    <row r="597" spans="1:6" ht="15.75" thickBot="1" x14ac:dyDescent="0.3">
      <c r="A597" s="4" t="s">
        <v>710</v>
      </c>
      <c r="B597" s="4" t="s">
        <v>170</v>
      </c>
      <c r="C597" s="4"/>
      <c r="D597" s="7">
        <v>45386</v>
      </c>
      <c r="E597" s="8">
        <v>-120000</v>
      </c>
      <c r="F597" s="8">
        <f>ROUND(F596+E597,5)</f>
        <v>0</v>
      </c>
    </row>
    <row r="598" spans="1:6" x14ac:dyDescent="0.25">
      <c r="A598" s="2" t="s">
        <v>711</v>
      </c>
      <c r="B598" s="2" t="s">
        <v>281</v>
      </c>
      <c r="C598" s="2"/>
      <c r="D598" s="6"/>
      <c r="E598" s="3"/>
      <c r="F598" s="3">
        <v>0</v>
      </c>
    </row>
    <row r="599" spans="1:6" ht="15.75" thickBot="1" x14ac:dyDescent="0.3">
      <c r="A599" s="1" t="s">
        <v>711</v>
      </c>
      <c r="B599" s="4" t="s">
        <v>171</v>
      </c>
      <c r="C599" s="4"/>
      <c r="D599" s="7">
        <v>45383</v>
      </c>
      <c r="E599" s="8">
        <v>140000</v>
      </c>
      <c r="F599" s="8">
        <f>ROUND(F598+E599,5)</f>
        <v>140000</v>
      </c>
    </row>
    <row r="600" spans="1:6" x14ac:dyDescent="0.25">
      <c r="A600" s="2" t="s">
        <v>712</v>
      </c>
      <c r="B600" s="2" t="s">
        <v>282</v>
      </c>
      <c r="C600" s="2"/>
      <c r="D600" s="6"/>
      <c r="E600" s="3"/>
      <c r="F600" s="3">
        <v>0</v>
      </c>
    </row>
    <row r="601" spans="1:6" x14ac:dyDescent="0.25">
      <c r="A601" s="4" t="s">
        <v>712</v>
      </c>
      <c r="B601" s="4" t="s">
        <v>171</v>
      </c>
      <c r="C601" s="4"/>
      <c r="D601" s="7">
        <v>45306</v>
      </c>
      <c r="E601" s="5">
        <v>300000</v>
      </c>
      <c r="F601" s="5">
        <f>ROUND(F600+E601,5)</f>
        <v>300000</v>
      </c>
    </row>
    <row r="602" spans="1:6" x14ac:dyDescent="0.25">
      <c r="A602" s="4" t="s">
        <v>712</v>
      </c>
      <c r="B602" s="4" t="s">
        <v>170</v>
      </c>
      <c r="C602" s="4"/>
      <c r="D602" s="7">
        <v>45370</v>
      </c>
      <c r="E602" s="5">
        <v>-200000</v>
      </c>
      <c r="F602" s="5">
        <f>ROUND(F601+E602,5)</f>
        <v>100000</v>
      </c>
    </row>
    <row r="603" spans="1:6" ht="15.75" thickBot="1" x14ac:dyDescent="0.3">
      <c r="A603" s="4" t="s">
        <v>712</v>
      </c>
      <c r="B603" s="4" t="s">
        <v>170</v>
      </c>
      <c r="C603" s="4"/>
      <c r="D603" s="7">
        <v>45391</v>
      </c>
      <c r="E603" s="8">
        <v>-100000</v>
      </c>
      <c r="F603" s="8">
        <f>ROUND(F602+E603,5)</f>
        <v>0</v>
      </c>
    </row>
    <row r="604" spans="1:6" x14ac:dyDescent="0.25">
      <c r="A604" s="2" t="s">
        <v>713</v>
      </c>
      <c r="B604" s="2" t="s">
        <v>283</v>
      </c>
      <c r="C604" s="2"/>
      <c r="D604" s="6"/>
      <c r="E604" s="3"/>
      <c r="F604" s="3">
        <v>0</v>
      </c>
    </row>
    <row r="605" spans="1:6" x14ac:dyDescent="0.25">
      <c r="A605" s="4" t="s">
        <v>713</v>
      </c>
      <c r="B605" s="4" t="s">
        <v>171</v>
      </c>
      <c r="C605" s="4"/>
      <c r="D605" s="7">
        <v>45306</v>
      </c>
      <c r="E605" s="5">
        <v>425000</v>
      </c>
      <c r="F605" s="5">
        <f>ROUND(F604+E605,5)</f>
        <v>425000</v>
      </c>
    </row>
    <row r="606" spans="1:6" x14ac:dyDescent="0.25">
      <c r="A606" s="4" t="s">
        <v>713</v>
      </c>
      <c r="B606" s="4" t="s">
        <v>173</v>
      </c>
      <c r="C606" s="4"/>
      <c r="D606" s="7">
        <v>45335</v>
      </c>
      <c r="E606" s="5">
        <v>-25000</v>
      </c>
      <c r="F606" s="5">
        <f>ROUND(F605+E606,5)</f>
        <v>400000</v>
      </c>
    </row>
    <row r="607" spans="1:6" x14ac:dyDescent="0.25">
      <c r="A607" s="4" t="s">
        <v>713</v>
      </c>
      <c r="B607" s="4" t="s">
        <v>170</v>
      </c>
      <c r="C607" s="4"/>
      <c r="D607" s="7">
        <v>45394</v>
      </c>
      <c r="E607" s="5">
        <v>-150000</v>
      </c>
      <c r="F607" s="5">
        <f>ROUND(F606+E607,5)</f>
        <v>250000</v>
      </c>
    </row>
    <row r="608" spans="1:6" ht="15.75" thickBot="1" x14ac:dyDescent="0.3">
      <c r="A608" s="4" t="s">
        <v>713</v>
      </c>
      <c r="B608" s="4" t="s">
        <v>170</v>
      </c>
      <c r="C608" s="4"/>
      <c r="D608" s="7">
        <v>45439</v>
      </c>
      <c r="E608" s="8">
        <v>-200000</v>
      </c>
      <c r="F608" s="8">
        <f>ROUND(F607+E608,5)</f>
        <v>50000</v>
      </c>
    </row>
    <row r="609" spans="1:6" x14ac:dyDescent="0.25">
      <c r="A609" s="4" t="s">
        <v>714</v>
      </c>
      <c r="B609" s="2" t="s">
        <v>284</v>
      </c>
      <c r="C609" s="2"/>
      <c r="D609" s="6"/>
      <c r="E609" s="3"/>
      <c r="F609" s="3">
        <v>0</v>
      </c>
    </row>
    <row r="610" spans="1:6" x14ac:dyDescent="0.25">
      <c r="A610" s="4" t="s">
        <v>714</v>
      </c>
      <c r="B610" s="4" t="s">
        <v>171</v>
      </c>
      <c r="C610" s="4"/>
      <c r="D610" s="7">
        <v>45306</v>
      </c>
      <c r="E610" s="5">
        <v>425000</v>
      </c>
      <c r="F610" s="5">
        <f>ROUND(F609+E610,5)</f>
        <v>425000</v>
      </c>
    </row>
    <row r="611" spans="1:6" ht="15.75" thickBot="1" x14ac:dyDescent="0.3">
      <c r="A611" s="4" t="s">
        <v>714</v>
      </c>
      <c r="B611" s="4" t="s">
        <v>170</v>
      </c>
      <c r="C611" s="4"/>
      <c r="D611" s="7">
        <v>45313</v>
      </c>
      <c r="E611" s="8">
        <v>-25000</v>
      </c>
      <c r="F611" s="8">
        <f>ROUND(F610+E611,5)</f>
        <v>400000</v>
      </c>
    </row>
    <row r="612" spans="1:6" x14ac:dyDescent="0.25">
      <c r="A612" s="2" t="s">
        <v>715</v>
      </c>
      <c r="B612" s="2" t="s">
        <v>285</v>
      </c>
      <c r="C612" s="2"/>
      <c r="D612" s="6"/>
      <c r="E612" s="3"/>
      <c r="F612" s="3">
        <v>0</v>
      </c>
    </row>
    <row r="613" spans="1:6" x14ac:dyDescent="0.25">
      <c r="A613" s="2" t="s">
        <v>716</v>
      </c>
      <c r="B613" s="2" t="s">
        <v>286</v>
      </c>
      <c r="C613" s="2"/>
      <c r="D613" s="6"/>
      <c r="E613" s="3"/>
      <c r="F613" s="3">
        <v>818000</v>
      </c>
    </row>
    <row r="614" spans="1:6" ht="15.75" thickBot="1" x14ac:dyDescent="0.3">
      <c r="A614" s="1" t="s">
        <v>716</v>
      </c>
      <c r="B614" s="4" t="s">
        <v>170</v>
      </c>
      <c r="C614" s="4"/>
      <c r="D614" s="7">
        <v>45330</v>
      </c>
      <c r="E614" s="8">
        <v>-500000</v>
      </c>
      <c r="F614" s="8">
        <f>ROUND(F613+E614,5)</f>
        <v>318000</v>
      </c>
    </row>
    <row r="615" spans="1:6" x14ac:dyDescent="0.25">
      <c r="A615" s="2" t="s">
        <v>717</v>
      </c>
      <c r="B615" s="2" t="s">
        <v>287</v>
      </c>
      <c r="C615" s="2"/>
      <c r="D615" s="6"/>
      <c r="E615" s="3"/>
      <c r="F615" s="3">
        <v>0</v>
      </c>
    </row>
    <row r="616" spans="1:6" x14ac:dyDescent="0.25">
      <c r="A616" s="4" t="s">
        <v>717</v>
      </c>
      <c r="B616" s="4" t="s">
        <v>171</v>
      </c>
      <c r="C616" s="4"/>
      <c r="D616" s="7">
        <v>45306</v>
      </c>
      <c r="E616" s="5">
        <v>300000</v>
      </c>
      <c r="F616" s="5">
        <f>ROUND(F615+E616,5)</f>
        <v>300000</v>
      </c>
    </row>
    <row r="617" spans="1:6" ht="15.75" thickBot="1" x14ac:dyDescent="0.3">
      <c r="A617" s="4" t="s">
        <v>717</v>
      </c>
      <c r="B617" s="4" t="s">
        <v>170</v>
      </c>
      <c r="C617" s="4"/>
      <c r="D617" s="7">
        <v>45355</v>
      </c>
      <c r="E617" s="8">
        <v>-600000</v>
      </c>
      <c r="F617" s="8">
        <f>ROUND(F616+E617,5)</f>
        <v>-300000</v>
      </c>
    </row>
    <row r="618" spans="1:6" x14ac:dyDescent="0.25">
      <c r="A618" s="2" t="s">
        <v>718</v>
      </c>
      <c r="B618" s="2" t="s">
        <v>288</v>
      </c>
      <c r="C618" s="2"/>
      <c r="D618" s="6"/>
      <c r="E618" s="3"/>
      <c r="F618" s="3">
        <v>0</v>
      </c>
    </row>
    <row r="619" spans="1:6" x14ac:dyDescent="0.25">
      <c r="A619" s="2" t="s">
        <v>719</v>
      </c>
      <c r="B619" s="2" t="s">
        <v>289</v>
      </c>
      <c r="C619" s="2"/>
      <c r="D619" s="6"/>
      <c r="E619" s="3"/>
      <c r="F619" s="3">
        <v>350000</v>
      </c>
    </row>
    <row r="620" spans="1:6" x14ac:dyDescent="0.25">
      <c r="A620" s="4" t="s">
        <v>719</v>
      </c>
      <c r="B620" s="4" t="s">
        <v>171</v>
      </c>
      <c r="C620" s="4"/>
      <c r="D620" s="7">
        <v>45322</v>
      </c>
      <c r="E620" s="5">
        <v>400000</v>
      </c>
      <c r="F620" s="5">
        <f>ROUND(F619+E620,5)</f>
        <v>750000</v>
      </c>
    </row>
    <row r="621" spans="1:6" ht="15.75" thickBot="1" x14ac:dyDescent="0.3">
      <c r="A621" s="4" t="s">
        <v>719</v>
      </c>
      <c r="B621" s="4" t="s">
        <v>170</v>
      </c>
      <c r="C621" s="4"/>
      <c r="D621" s="7">
        <v>45383</v>
      </c>
      <c r="E621" s="8">
        <v>-50000</v>
      </c>
      <c r="F621" s="8">
        <f>ROUND(F620+E621,5)</f>
        <v>700000</v>
      </c>
    </row>
    <row r="622" spans="1:6" x14ac:dyDescent="0.25">
      <c r="A622" s="2" t="s">
        <v>720</v>
      </c>
      <c r="B622" s="2" t="s">
        <v>290</v>
      </c>
      <c r="C622" s="2"/>
      <c r="D622" s="6"/>
      <c r="E622" s="3"/>
      <c r="F622" s="3">
        <v>400000</v>
      </c>
    </row>
    <row r="623" spans="1:6" ht="15.75" thickBot="1" x14ac:dyDescent="0.3">
      <c r="A623" s="1" t="s">
        <v>720</v>
      </c>
      <c r="B623" s="4" t="s">
        <v>170</v>
      </c>
      <c r="C623" s="4"/>
      <c r="D623" s="7">
        <v>45370</v>
      </c>
      <c r="E623" s="8">
        <v>-400000</v>
      </c>
      <c r="F623" s="8">
        <f>ROUND(F622+E623,5)</f>
        <v>0</v>
      </c>
    </row>
    <row r="624" spans="1:6" x14ac:dyDescent="0.25">
      <c r="A624" s="2" t="s">
        <v>721</v>
      </c>
      <c r="B624" s="2" t="s">
        <v>291</v>
      </c>
      <c r="C624" s="2"/>
      <c r="D624" s="6"/>
      <c r="E624" s="3"/>
      <c r="F624" s="3">
        <v>0</v>
      </c>
    </row>
    <row r="625" spans="1:6" x14ac:dyDescent="0.25">
      <c r="A625" s="4" t="s">
        <v>721</v>
      </c>
      <c r="B625" s="4" t="s">
        <v>171</v>
      </c>
      <c r="C625" s="4"/>
      <c r="D625" s="7">
        <v>45306</v>
      </c>
      <c r="E625" s="5">
        <v>425000</v>
      </c>
      <c r="F625" s="5">
        <f>ROUND(F624+E625,5)</f>
        <v>425000</v>
      </c>
    </row>
    <row r="626" spans="1:6" x14ac:dyDescent="0.25">
      <c r="A626" s="4" t="s">
        <v>721</v>
      </c>
      <c r="B626" s="4" t="s">
        <v>170</v>
      </c>
      <c r="C626" s="4"/>
      <c r="D626" s="7">
        <v>45370</v>
      </c>
      <c r="E626" s="5">
        <v>-300000</v>
      </c>
      <c r="F626" s="5">
        <f>ROUND(F625+E626,5)</f>
        <v>125000</v>
      </c>
    </row>
    <row r="627" spans="1:6" ht="15.75" thickBot="1" x14ac:dyDescent="0.3">
      <c r="A627" s="4" t="s">
        <v>721</v>
      </c>
      <c r="B627" s="4" t="s">
        <v>170</v>
      </c>
      <c r="C627" s="4"/>
      <c r="D627" s="7">
        <v>45391</v>
      </c>
      <c r="E627" s="8">
        <v>-100000</v>
      </c>
      <c r="F627" s="8">
        <f>ROUND(F626+E627,5)</f>
        <v>25000</v>
      </c>
    </row>
    <row r="628" spans="1:6" x14ac:dyDescent="0.25">
      <c r="A628" s="2" t="s">
        <v>722</v>
      </c>
      <c r="B628" s="2" t="s">
        <v>292</v>
      </c>
      <c r="C628" s="2"/>
      <c r="D628" s="6"/>
      <c r="E628" s="3"/>
      <c r="F628" s="3">
        <v>0</v>
      </c>
    </row>
    <row r="629" spans="1:6" x14ac:dyDescent="0.25">
      <c r="A629" s="4" t="s">
        <v>722</v>
      </c>
      <c r="B629" s="4" t="s">
        <v>171</v>
      </c>
      <c r="C629" s="4"/>
      <c r="D629" s="7">
        <v>45322</v>
      </c>
      <c r="E629" s="5">
        <v>300000</v>
      </c>
      <c r="F629" s="5">
        <f>ROUND(F628+E629,5)</f>
        <v>300000</v>
      </c>
    </row>
    <row r="630" spans="1:6" x14ac:dyDescent="0.25">
      <c r="A630" s="4" t="s">
        <v>722</v>
      </c>
      <c r="B630" s="4" t="s">
        <v>170</v>
      </c>
      <c r="C630" s="4"/>
      <c r="D630" s="7">
        <v>45372</v>
      </c>
      <c r="E630" s="5">
        <v>-100000</v>
      </c>
      <c r="F630" s="5">
        <f>ROUND(F629+E630,5)</f>
        <v>200000</v>
      </c>
    </row>
    <row r="631" spans="1:6" ht="15.75" thickBot="1" x14ac:dyDescent="0.3">
      <c r="A631" s="4" t="s">
        <v>722</v>
      </c>
      <c r="B631" s="4" t="s">
        <v>170</v>
      </c>
      <c r="C631" s="4"/>
      <c r="D631" s="7">
        <v>45406</v>
      </c>
      <c r="E631" s="8">
        <v>-200000</v>
      </c>
      <c r="F631" s="8">
        <f>ROUND(F630+E631,5)</f>
        <v>0</v>
      </c>
    </row>
    <row r="632" spans="1:6" x14ac:dyDescent="0.25">
      <c r="A632" s="2" t="s">
        <v>723</v>
      </c>
      <c r="B632" s="2" t="s">
        <v>293</v>
      </c>
      <c r="C632" s="2"/>
      <c r="D632" s="6"/>
      <c r="E632" s="3"/>
      <c r="F632" s="3">
        <v>309400</v>
      </c>
    </row>
    <row r="633" spans="1:6" x14ac:dyDescent="0.25">
      <c r="A633" s="4" t="s">
        <v>723</v>
      </c>
      <c r="B633" s="4" t="s">
        <v>171</v>
      </c>
      <c r="C633" s="4"/>
      <c r="D633" s="7">
        <v>45306</v>
      </c>
      <c r="E633" s="5">
        <v>300000</v>
      </c>
      <c r="F633" s="5">
        <f>ROUND(F632+E633,5)</f>
        <v>609400</v>
      </c>
    </row>
    <row r="634" spans="1:6" x14ac:dyDescent="0.25">
      <c r="A634" s="4" t="s">
        <v>723</v>
      </c>
      <c r="B634" s="4" t="s">
        <v>170</v>
      </c>
      <c r="C634" s="4"/>
      <c r="D634" s="7">
        <v>45313</v>
      </c>
      <c r="E634" s="5">
        <v>-25000</v>
      </c>
      <c r="F634" s="5">
        <f>ROUND(F633+E634,5)</f>
        <v>584400</v>
      </c>
    </row>
    <row r="635" spans="1:6" x14ac:dyDescent="0.25">
      <c r="A635" s="4" t="s">
        <v>723</v>
      </c>
      <c r="B635" s="4" t="s">
        <v>170</v>
      </c>
      <c r="C635" s="4"/>
      <c r="D635" s="7">
        <v>45345</v>
      </c>
      <c r="E635" s="5">
        <v>-50000</v>
      </c>
      <c r="F635" s="5">
        <f>ROUND(F634+E635,5)</f>
        <v>534400</v>
      </c>
    </row>
    <row r="636" spans="1:6" ht="15.75" thickBot="1" x14ac:dyDescent="0.3">
      <c r="A636" s="4" t="s">
        <v>723</v>
      </c>
      <c r="B636" s="4" t="s">
        <v>170</v>
      </c>
      <c r="C636" s="4"/>
      <c r="D636" s="7">
        <v>45383</v>
      </c>
      <c r="E636" s="8">
        <v>-50000</v>
      </c>
      <c r="F636" s="8">
        <f>ROUND(F635+E636,5)</f>
        <v>484400</v>
      </c>
    </row>
    <row r="637" spans="1:6" x14ac:dyDescent="0.25">
      <c r="A637" s="2" t="s">
        <v>727</v>
      </c>
      <c r="B637" s="2" t="s">
        <v>294</v>
      </c>
      <c r="C637" s="2"/>
      <c r="D637" s="6"/>
      <c r="E637" s="3"/>
      <c r="F637" s="3">
        <v>0</v>
      </c>
    </row>
    <row r="638" spans="1:6" x14ac:dyDescent="0.25">
      <c r="A638" s="4" t="s">
        <v>727</v>
      </c>
      <c r="B638" s="4" t="s">
        <v>171</v>
      </c>
      <c r="C638" s="4"/>
      <c r="D638" s="7">
        <v>45306</v>
      </c>
      <c r="E638" s="5">
        <v>325000</v>
      </c>
      <c r="F638" s="5">
        <f>ROUND(F637+E638,5)</f>
        <v>325000</v>
      </c>
    </row>
    <row r="639" spans="1:6" x14ac:dyDescent="0.25">
      <c r="A639" s="4" t="s">
        <v>727</v>
      </c>
      <c r="B639" s="4" t="s">
        <v>173</v>
      </c>
      <c r="C639" s="4"/>
      <c r="D639" s="7">
        <v>45341</v>
      </c>
      <c r="E639" s="5">
        <v>-25000</v>
      </c>
      <c r="F639" s="5">
        <f>ROUND(F638+E639,5)</f>
        <v>300000</v>
      </c>
    </row>
    <row r="640" spans="1:6" ht="15.75" thickBot="1" x14ac:dyDescent="0.3">
      <c r="A640" s="4" t="s">
        <v>727</v>
      </c>
      <c r="B640" s="4" t="s">
        <v>170</v>
      </c>
      <c r="C640" s="4"/>
      <c r="D640" s="7">
        <v>45344</v>
      </c>
      <c r="E640" s="8">
        <v>-300000</v>
      </c>
      <c r="F640" s="8">
        <f>ROUND(F639+E640,5)</f>
        <v>0</v>
      </c>
    </row>
    <row r="641" spans="1:6" x14ac:dyDescent="0.25">
      <c r="A641" s="2" t="s">
        <v>724</v>
      </c>
      <c r="B641" s="2" t="s">
        <v>295</v>
      </c>
      <c r="C641" s="2"/>
      <c r="D641" s="6"/>
      <c r="E641" s="3"/>
      <c r="F641" s="3">
        <v>384071</v>
      </c>
    </row>
    <row r="642" spans="1:6" ht="15.75" thickBot="1" x14ac:dyDescent="0.3">
      <c r="A642" s="1" t="s">
        <v>724</v>
      </c>
      <c r="B642" s="4" t="s">
        <v>170</v>
      </c>
      <c r="C642" s="4"/>
      <c r="D642" s="7">
        <v>45314</v>
      </c>
      <c r="E642" s="8">
        <v>-385000</v>
      </c>
      <c r="F642" s="8">
        <f>ROUND(F641+E642,5)</f>
        <v>-929</v>
      </c>
    </row>
    <row r="643" spans="1:6" x14ac:dyDescent="0.25">
      <c r="A643" s="2" t="s">
        <v>728</v>
      </c>
      <c r="B643" s="2" t="s">
        <v>296</v>
      </c>
      <c r="C643" s="2"/>
      <c r="D643" s="6"/>
      <c r="E643" s="3"/>
      <c r="F643" s="3">
        <v>0</v>
      </c>
    </row>
    <row r="644" spans="1:6" x14ac:dyDescent="0.25">
      <c r="A644" s="4" t="s">
        <v>728</v>
      </c>
      <c r="B644" s="4" t="s">
        <v>170</v>
      </c>
      <c r="C644" s="4"/>
      <c r="D644" s="7">
        <v>45295</v>
      </c>
      <c r="E644" s="5">
        <v>-25000</v>
      </c>
      <c r="F644" s="5">
        <f>ROUND(F643+E644,5)</f>
        <v>-25000</v>
      </c>
    </row>
    <row r="645" spans="1:6" ht="15.75" thickBot="1" x14ac:dyDescent="0.3">
      <c r="A645" s="4" t="s">
        <v>728</v>
      </c>
      <c r="B645" s="4" t="s">
        <v>171</v>
      </c>
      <c r="C645" s="4"/>
      <c r="D645" s="7">
        <v>45306</v>
      </c>
      <c r="E645" s="8">
        <v>425000</v>
      </c>
      <c r="F645" s="8">
        <f>ROUND(F644+E645,5)</f>
        <v>400000</v>
      </c>
    </row>
    <row r="646" spans="1:6" x14ac:dyDescent="0.25">
      <c r="A646" s="2" t="s">
        <v>725</v>
      </c>
      <c r="B646" s="2" t="s">
        <v>297</v>
      </c>
      <c r="C646" s="2"/>
      <c r="D646" s="6"/>
      <c r="E646" s="3"/>
      <c r="F646" s="3">
        <v>800000</v>
      </c>
    </row>
    <row r="647" spans="1:6" x14ac:dyDescent="0.25">
      <c r="A647" s="4" t="s">
        <v>725</v>
      </c>
      <c r="B647" s="4" t="s">
        <v>171</v>
      </c>
      <c r="C647" s="4"/>
      <c r="D647" s="7">
        <v>45362</v>
      </c>
      <c r="E647" s="5">
        <v>65000</v>
      </c>
      <c r="F647" s="5">
        <f>ROUND(F646+E647,5)</f>
        <v>865000</v>
      </c>
    </row>
    <row r="648" spans="1:6" ht="15.75" thickBot="1" x14ac:dyDescent="0.3">
      <c r="A648" s="4" t="s">
        <v>725</v>
      </c>
      <c r="B648" s="4" t="s">
        <v>170</v>
      </c>
      <c r="C648" s="4"/>
      <c r="D648" s="7">
        <v>45362</v>
      </c>
      <c r="E648" s="8">
        <v>-410000</v>
      </c>
      <c r="F648" s="8">
        <f>ROUND(F647+E648,5)</f>
        <v>455000</v>
      </c>
    </row>
    <row r="649" spans="1:6" x14ac:dyDescent="0.25">
      <c r="A649" s="2" t="s">
        <v>726</v>
      </c>
      <c r="B649" s="2" t="s">
        <v>298</v>
      </c>
      <c r="C649" s="2"/>
      <c r="D649" s="6"/>
      <c r="E649" s="3"/>
      <c r="F649" s="3">
        <v>0</v>
      </c>
    </row>
    <row r="650" spans="1:6" x14ac:dyDescent="0.25">
      <c r="A650" s="4" t="s">
        <v>726</v>
      </c>
      <c r="B650" s="4" t="s">
        <v>171</v>
      </c>
      <c r="C650" s="4"/>
      <c r="D650" s="7">
        <v>45306</v>
      </c>
      <c r="E650" s="5">
        <v>300000</v>
      </c>
      <c r="F650" s="5">
        <f>ROUND(F649+E650,5)</f>
        <v>300000</v>
      </c>
    </row>
    <row r="651" spans="1:6" x14ac:dyDescent="0.25">
      <c r="A651" s="4" t="s">
        <v>726</v>
      </c>
      <c r="B651" s="4" t="s">
        <v>171</v>
      </c>
      <c r="C651" s="4"/>
      <c r="D651" s="7">
        <v>45316</v>
      </c>
      <c r="E651" s="5">
        <v>180000</v>
      </c>
      <c r="F651" s="5">
        <f>ROUND(F650+E651,5)</f>
        <v>480000</v>
      </c>
    </row>
    <row r="652" spans="1:6" x14ac:dyDescent="0.25">
      <c r="A652" s="4" t="s">
        <v>726</v>
      </c>
      <c r="B652" s="4" t="s">
        <v>170</v>
      </c>
      <c r="C652" s="4"/>
      <c r="D652" s="7">
        <v>45316</v>
      </c>
      <c r="E652" s="5">
        <v>-180000</v>
      </c>
      <c r="F652" s="5">
        <f>ROUND(F651+E652,5)</f>
        <v>300000</v>
      </c>
    </row>
    <row r="653" spans="1:6" ht="15.75" thickBot="1" x14ac:dyDescent="0.3">
      <c r="A653" s="4" t="s">
        <v>726</v>
      </c>
      <c r="B653" s="4" t="s">
        <v>170</v>
      </c>
      <c r="C653" s="4"/>
      <c r="D653" s="7">
        <v>45355</v>
      </c>
      <c r="E653" s="8">
        <v>-600000</v>
      </c>
      <c r="F653" s="8">
        <f>ROUND(F652+E653,5)</f>
        <v>-300000</v>
      </c>
    </row>
    <row r="654" spans="1:6" x14ac:dyDescent="0.25">
      <c r="A654" s="2" t="s">
        <v>730</v>
      </c>
      <c r="B654" s="2" t="s">
        <v>299</v>
      </c>
      <c r="C654" s="2"/>
      <c r="D654" s="6"/>
      <c r="E654" s="3"/>
      <c r="F654" s="3">
        <v>400000</v>
      </c>
    </row>
    <row r="655" spans="1:6" ht="15.75" thickBot="1" x14ac:dyDescent="0.3">
      <c r="A655" s="1" t="s">
        <v>730</v>
      </c>
      <c r="B655" s="4" t="s">
        <v>171</v>
      </c>
      <c r="C655" s="4"/>
      <c r="D655" s="7">
        <v>45337</v>
      </c>
      <c r="E655" s="8">
        <v>300000</v>
      </c>
      <c r="F655" s="8">
        <f>ROUND(F654+E655,5)</f>
        <v>700000</v>
      </c>
    </row>
    <row r="656" spans="1:6" x14ac:dyDescent="0.25">
      <c r="A656" s="2" t="s">
        <v>729</v>
      </c>
      <c r="B656" s="2" t="s">
        <v>300</v>
      </c>
      <c r="C656" s="2"/>
      <c r="D656" s="6"/>
      <c r="E656" s="3"/>
      <c r="F656" s="3">
        <v>-29</v>
      </c>
    </row>
    <row r="657" spans="1:6" x14ac:dyDescent="0.25">
      <c r="A657" s="2" t="s">
        <v>731</v>
      </c>
      <c r="B657" s="2" t="s">
        <v>301</v>
      </c>
      <c r="C657" s="2"/>
      <c r="D657" s="6"/>
      <c r="E657" s="3"/>
      <c r="F657" s="3">
        <v>0</v>
      </c>
    </row>
    <row r="658" spans="1:6" x14ac:dyDescent="0.25">
      <c r="A658" s="4" t="s">
        <v>731</v>
      </c>
      <c r="B658" s="4" t="s">
        <v>171</v>
      </c>
      <c r="C658" s="4"/>
      <c r="D658" s="7">
        <v>45306</v>
      </c>
      <c r="E658" s="5">
        <v>300000</v>
      </c>
      <c r="F658" s="5">
        <f>ROUND(F657+E658,5)</f>
        <v>300000</v>
      </c>
    </row>
    <row r="659" spans="1:6" ht="15.75" thickBot="1" x14ac:dyDescent="0.3">
      <c r="A659" s="4" t="s">
        <v>731</v>
      </c>
      <c r="B659" s="4" t="s">
        <v>170</v>
      </c>
      <c r="C659" s="4"/>
      <c r="D659" s="7">
        <v>45355</v>
      </c>
      <c r="E659" s="8">
        <v>-600000</v>
      </c>
      <c r="F659" s="8">
        <f>ROUND(F658+E659,5)</f>
        <v>-300000</v>
      </c>
    </row>
    <row r="660" spans="1:6" x14ac:dyDescent="0.25">
      <c r="A660" s="2" t="s">
        <v>732</v>
      </c>
      <c r="B660" s="2" t="s">
        <v>302</v>
      </c>
      <c r="C660" s="2"/>
      <c r="D660" s="6"/>
      <c r="E660" s="3"/>
      <c r="F660" s="3">
        <v>65000</v>
      </c>
    </row>
    <row r="661" spans="1:6" ht="15.75" thickBot="1" x14ac:dyDescent="0.3">
      <c r="A661" s="1" t="s">
        <v>732</v>
      </c>
      <c r="B661" s="4" t="s">
        <v>170</v>
      </c>
      <c r="C661" s="4"/>
      <c r="D661" s="7">
        <v>45299</v>
      </c>
      <c r="E661" s="8">
        <v>-65000</v>
      </c>
      <c r="F661" s="8">
        <f>ROUND(F660+E661,5)</f>
        <v>0</v>
      </c>
    </row>
    <row r="662" spans="1:6" x14ac:dyDescent="0.25">
      <c r="A662" s="2" t="s">
        <v>733</v>
      </c>
      <c r="B662" s="2" t="s">
        <v>303</v>
      </c>
      <c r="C662" s="2"/>
      <c r="D662" s="6"/>
      <c r="E662" s="3"/>
      <c r="F662" s="3">
        <v>400000</v>
      </c>
    </row>
    <row r="663" spans="1:6" x14ac:dyDescent="0.25">
      <c r="A663" s="2" t="s">
        <v>734</v>
      </c>
      <c r="B663" s="2" t="s">
        <v>304</v>
      </c>
      <c r="C663" s="2"/>
      <c r="D663" s="6"/>
      <c r="E663" s="3"/>
      <c r="F663" s="3">
        <v>0</v>
      </c>
    </row>
    <row r="664" spans="1:6" x14ac:dyDescent="0.25">
      <c r="A664" s="4" t="s">
        <v>734</v>
      </c>
      <c r="B664" s="4" t="s">
        <v>171</v>
      </c>
      <c r="C664" s="4"/>
      <c r="D664" s="7">
        <v>45322</v>
      </c>
      <c r="E664" s="5">
        <v>300000</v>
      </c>
      <c r="F664" s="5">
        <f>ROUND(F663+E664,5)</f>
        <v>300000</v>
      </c>
    </row>
    <row r="665" spans="1:6" x14ac:dyDescent="0.25">
      <c r="A665" s="4" t="s">
        <v>734</v>
      </c>
      <c r="B665" s="4" t="s">
        <v>170</v>
      </c>
      <c r="C665" s="4"/>
      <c r="D665" s="7">
        <v>45348</v>
      </c>
      <c r="E665" s="5">
        <v>-150000</v>
      </c>
      <c r="F665" s="5">
        <f>ROUND(F664+E665,5)</f>
        <v>150000</v>
      </c>
    </row>
    <row r="666" spans="1:6" x14ac:dyDescent="0.25">
      <c r="A666" s="4" t="s">
        <v>734</v>
      </c>
      <c r="B666" s="4" t="s">
        <v>170</v>
      </c>
      <c r="C666" s="4"/>
      <c r="D666" s="7">
        <v>45385</v>
      </c>
      <c r="E666" s="5">
        <v>-80000</v>
      </c>
      <c r="F666" s="5">
        <f>ROUND(F665+E666,5)</f>
        <v>70000</v>
      </c>
    </row>
    <row r="667" spans="1:6" ht="15.75" thickBot="1" x14ac:dyDescent="0.3">
      <c r="A667" s="4" t="s">
        <v>734</v>
      </c>
      <c r="B667" s="4" t="s">
        <v>170</v>
      </c>
      <c r="C667" s="4"/>
      <c r="D667" s="7">
        <v>45408</v>
      </c>
      <c r="E667" s="8">
        <v>-70000</v>
      </c>
      <c r="F667" s="8">
        <f>ROUND(F666+E667,5)</f>
        <v>0</v>
      </c>
    </row>
    <row r="668" spans="1:6" x14ac:dyDescent="0.25">
      <c r="A668" s="2" t="s">
        <v>735</v>
      </c>
      <c r="B668" s="2" t="s">
        <v>305</v>
      </c>
      <c r="C668" s="2"/>
      <c r="D668" s="6"/>
      <c r="E668" s="3"/>
      <c r="F668" s="3">
        <v>80000</v>
      </c>
    </row>
    <row r="669" spans="1:6" ht="15.75" thickBot="1" x14ac:dyDescent="0.3">
      <c r="A669" s="1" t="s">
        <v>735</v>
      </c>
      <c r="B669" s="4" t="s">
        <v>172</v>
      </c>
      <c r="C669" s="4"/>
      <c r="D669" s="7">
        <v>45376</v>
      </c>
      <c r="E669" s="8">
        <v>-80000</v>
      </c>
      <c r="F669" s="8">
        <f>ROUND(F668+E669,5)</f>
        <v>0</v>
      </c>
    </row>
    <row r="670" spans="1:6" x14ac:dyDescent="0.25">
      <c r="A670" s="2" t="s">
        <v>737</v>
      </c>
      <c r="B670" s="2" t="s">
        <v>306</v>
      </c>
      <c r="C670" s="2"/>
      <c r="D670" s="6"/>
      <c r="E670" s="3"/>
      <c r="F670" s="3">
        <v>0</v>
      </c>
    </row>
    <row r="671" spans="1:6" x14ac:dyDescent="0.25">
      <c r="A671" s="4" t="s">
        <v>737</v>
      </c>
      <c r="B671" s="4" t="s">
        <v>171</v>
      </c>
      <c r="C671" s="4"/>
      <c r="D671" s="7">
        <v>45306</v>
      </c>
      <c r="E671" s="5">
        <v>425000</v>
      </c>
      <c r="F671" s="5">
        <f>ROUND(F670+E671,5)</f>
        <v>425000</v>
      </c>
    </row>
    <row r="672" spans="1:6" ht="15.75" thickBot="1" x14ac:dyDescent="0.3">
      <c r="A672" s="4" t="s">
        <v>737</v>
      </c>
      <c r="B672" s="4" t="s">
        <v>170</v>
      </c>
      <c r="C672" s="4"/>
      <c r="D672" s="7">
        <v>45309</v>
      </c>
      <c r="E672" s="8">
        <v>-25000</v>
      </c>
      <c r="F672" s="8">
        <f>ROUND(F671+E672,5)</f>
        <v>400000</v>
      </c>
    </row>
    <row r="673" spans="1:6" x14ac:dyDescent="0.25">
      <c r="A673" s="2" t="s">
        <v>736</v>
      </c>
      <c r="B673" s="2" t="s">
        <v>307</v>
      </c>
      <c r="C673" s="2"/>
      <c r="D673" s="6"/>
      <c r="E673" s="3"/>
      <c r="F673" s="3">
        <v>0</v>
      </c>
    </row>
    <row r="674" spans="1:6" x14ac:dyDescent="0.25">
      <c r="A674" s="4" t="s">
        <v>736</v>
      </c>
      <c r="B674" s="4" t="s">
        <v>171</v>
      </c>
      <c r="C674" s="4"/>
      <c r="D674" s="7">
        <v>45303</v>
      </c>
      <c r="E674" s="5">
        <v>150000</v>
      </c>
      <c r="F674" s="5">
        <f>ROUND(F673+E674,5)</f>
        <v>150000</v>
      </c>
    </row>
    <row r="675" spans="1:6" x14ac:dyDescent="0.25">
      <c r="A675" s="4" t="s">
        <v>736</v>
      </c>
      <c r="B675" s="4" t="s">
        <v>170</v>
      </c>
      <c r="C675" s="4"/>
      <c r="D675" s="7">
        <v>45303</v>
      </c>
      <c r="E675" s="5">
        <v>-100000</v>
      </c>
      <c r="F675" s="5">
        <f>ROUND(F674+E675,5)</f>
        <v>50000</v>
      </c>
    </row>
    <row r="676" spans="1:6" ht="15.75" thickBot="1" x14ac:dyDescent="0.3">
      <c r="A676" s="4" t="s">
        <v>736</v>
      </c>
      <c r="B676" s="4" t="s">
        <v>170</v>
      </c>
      <c r="C676" s="4"/>
      <c r="D676" s="7">
        <v>45303</v>
      </c>
      <c r="E676" s="8">
        <v>-50000</v>
      </c>
      <c r="F676" s="8">
        <f>ROUND(F675+E676,5)</f>
        <v>0</v>
      </c>
    </row>
    <row r="677" spans="1:6" x14ac:dyDescent="0.25">
      <c r="A677" s="2" t="s">
        <v>740</v>
      </c>
      <c r="B677" s="2" t="s">
        <v>308</v>
      </c>
      <c r="C677" s="2"/>
      <c r="D677" s="6"/>
      <c r="E677" s="3"/>
      <c r="F677" s="3">
        <v>0</v>
      </c>
    </row>
    <row r="678" spans="1:6" x14ac:dyDescent="0.25">
      <c r="A678" s="4" t="s">
        <v>740</v>
      </c>
      <c r="B678" s="4" t="s">
        <v>171</v>
      </c>
      <c r="C678" s="4"/>
      <c r="D678" s="7">
        <v>45306</v>
      </c>
      <c r="E678" s="5">
        <v>425000</v>
      </c>
      <c r="F678" s="5">
        <f>ROUND(F677+E678,5)</f>
        <v>425000</v>
      </c>
    </row>
    <row r="679" spans="1:6" ht="15.75" thickBot="1" x14ac:dyDescent="0.3">
      <c r="A679" s="4" t="s">
        <v>740</v>
      </c>
      <c r="B679" s="4" t="s">
        <v>170</v>
      </c>
      <c r="C679" s="4"/>
      <c r="D679" s="7">
        <v>45357</v>
      </c>
      <c r="E679" s="8">
        <v>-25000</v>
      </c>
      <c r="F679" s="8">
        <f>ROUND(F678+E679,5)</f>
        <v>400000</v>
      </c>
    </row>
    <row r="680" spans="1:6" x14ac:dyDescent="0.25">
      <c r="A680" s="2" t="s">
        <v>741</v>
      </c>
      <c r="B680" s="2" t="s">
        <v>309</v>
      </c>
      <c r="C680" s="2"/>
      <c r="D680" s="6"/>
      <c r="E680" s="3"/>
      <c r="F680" s="3">
        <v>0</v>
      </c>
    </row>
    <row r="681" spans="1:6" x14ac:dyDescent="0.25">
      <c r="A681" s="2" t="s">
        <v>742</v>
      </c>
      <c r="B681" s="2" t="s">
        <v>310</v>
      </c>
      <c r="C681" s="2"/>
      <c r="D681" s="6"/>
      <c r="E681" s="3"/>
      <c r="F681" s="3">
        <v>65000</v>
      </c>
    </row>
    <row r="682" spans="1:6" x14ac:dyDescent="0.25">
      <c r="A682" s="4" t="s">
        <v>742</v>
      </c>
      <c r="B682" s="4" t="s">
        <v>170</v>
      </c>
      <c r="C682" s="4"/>
      <c r="D682" s="7">
        <v>45304</v>
      </c>
      <c r="E682" s="5">
        <v>-5000</v>
      </c>
      <c r="F682" s="5">
        <f>ROUND(F681+E682,5)</f>
        <v>60000</v>
      </c>
    </row>
    <row r="683" spans="1:6" ht="15.75" thickBot="1" x14ac:dyDescent="0.3">
      <c r="A683" s="4" t="s">
        <v>742</v>
      </c>
      <c r="B683" s="4" t="s">
        <v>170</v>
      </c>
      <c r="C683" s="4"/>
      <c r="D683" s="7">
        <v>45364</v>
      </c>
      <c r="E683" s="8">
        <v>-60000</v>
      </c>
      <c r="F683" s="8">
        <f>ROUND(F682+E683,5)</f>
        <v>0</v>
      </c>
    </row>
    <row r="684" spans="1:6" x14ac:dyDescent="0.25">
      <c r="A684" s="2" t="s">
        <v>744</v>
      </c>
      <c r="B684" s="2" t="s">
        <v>311</v>
      </c>
      <c r="C684" s="2"/>
      <c r="D684" s="6"/>
      <c r="E684" s="3"/>
      <c r="F684" s="3">
        <v>100000</v>
      </c>
    </row>
    <row r="685" spans="1:6" x14ac:dyDescent="0.25">
      <c r="A685" s="4" t="s">
        <v>744</v>
      </c>
      <c r="B685" s="4" t="s">
        <v>170</v>
      </c>
      <c r="C685" s="4"/>
      <c r="D685" s="7">
        <v>45308</v>
      </c>
      <c r="E685" s="5">
        <v>-100000</v>
      </c>
      <c r="F685" s="5">
        <f>ROUND(F684+E685,5)</f>
        <v>0</v>
      </c>
    </row>
    <row r="686" spans="1:6" ht="15.75" thickBot="1" x14ac:dyDescent="0.3">
      <c r="A686" s="4" t="s">
        <v>744</v>
      </c>
      <c r="B686" s="4" t="s">
        <v>170</v>
      </c>
      <c r="C686" s="4"/>
      <c r="D686" s="7">
        <v>45309</v>
      </c>
      <c r="E686" s="8">
        <v>-22000</v>
      </c>
      <c r="F686" s="8">
        <f>ROUND(F685+E686,5)</f>
        <v>-22000</v>
      </c>
    </row>
    <row r="687" spans="1:6" x14ac:dyDescent="0.25">
      <c r="A687" s="2" t="s">
        <v>738</v>
      </c>
      <c r="B687" s="2" t="s">
        <v>312</v>
      </c>
      <c r="C687" s="2"/>
      <c r="D687" s="6"/>
      <c r="E687" s="3"/>
      <c r="F687" s="3">
        <v>0</v>
      </c>
    </row>
    <row r="688" spans="1:6" ht="15.75" thickBot="1" x14ac:dyDescent="0.3">
      <c r="A688" s="1" t="s">
        <v>738</v>
      </c>
      <c r="B688" s="4" t="s">
        <v>171</v>
      </c>
      <c r="C688" s="4"/>
      <c r="D688" s="7">
        <v>45306</v>
      </c>
      <c r="E688" s="8">
        <v>300000</v>
      </c>
      <c r="F688" s="8">
        <f>ROUND(F687+E688,5)</f>
        <v>300000</v>
      </c>
    </row>
    <row r="689" spans="1:6" x14ac:dyDescent="0.25">
      <c r="A689" s="2" t="s">
        <v>739</v>
      </c>
      <c r="B689" s="2" t="s">
        <v>313</v>
      </c>
      <c r="C689" s="2"/>
      <c r="D689" s="6"/>
      <c r="E689" s="3"/>
      <c r="F689" s="3">
        <v>65000</v>
      </c>
    </row>
    <row r="690" spans="1:6" ht="15.75" thickBot="1" x14ac:dyDescent="0.3">
      <c r="A690" s="1" t="s">
        <v>739</v>
      </c>
      <c r="B690" s="4" t="s">
        <v>170</v>
      </c>
      <c r="C690" s="4"/>
      <c r="D690" s="7">
        <v>45300</v>
      </c>
      <c r="E690" s="8">
        <v>-65000</v>
      </c>
      <c r="F690" s="8">
        <f>ROUND(F689+E690,5)</f>
        <v>0</v>
      </c>
    </row>
    <row r="691" spans="1:6" x14ac:dyDescent="0.25">
      <c r="A691" s="2" t="s">
        <v>743</v>
      </c>
      <c r="B691" s="2" t="s">
        <v>314</v>
      </c>
      <c r="C691" s="2"/>
      <c r="D691" s="6"/>
      <c r="E691" s="3"/>
      <c r="F691" s="3">
        <v>800000</v>
      </c>
    </row>
    <row r="692" spans="1:6" x14ac:dyDescent="0.25">
      <c r="A692" s="4" t="s">
        <v>745</v>
      </c>
      <c r="B692" s="2" t="s">
        <v>315</v>
      </c>
      <c r="C692" s="2"/>
      <c r="D692" s="6"/>
      <c r="E692" s="3"/>
      <c r="F692" s="3">
        <v>0</v>
      </c>
    </row>
    <row r="693" spans="1:6" x14ac:dyDescent="0.25">
      <c r="A693" s="2" t="s">
        <v>750</v>
      </c>
      <c r="B693" s="2" t="s">
        <v>316</v>
      </c>
      <c r="C693" s="2"/>
      <c r="D693" s="6"/>
      <c r="E693" s="3"/>
      <c r="F693" s="3">
        <v>0</v>
      </c>
    </row>
    <row r="694" spans="1:6" x14ac:dyDescent="0.25">
      <c r="A694" s="2" t="s">
        <v>652</v>
      </c>
      <c r="B694" s="2" t="s">
        <v>317</v>
      </c>
      <c r="C694" s="2"/>
      <c r="D694" s="6"/>
      <c r="E694" s="3"/>
      <c r="F694" s="3">
        <v>65000</v>
      </c>
    </row>
    <row r="695" spans="1:6" x14ac:dyDescent="0.25">
      <c r="A695" s="2" t="s">
        <v>751</v>
      </c>
      <c r="B695" s="2" t="s">
        <v>318</v>
      </c>
      <c r="C695" s="2"/>
      <c r="D695" s="6"/>
      <c r="E695" s="3"/>
      <c r="F695" s="3">
        <v>-48175</v>
      </c>
    </row>
    <row r="696" spans="1:6" x14ac:dyDescent="0.25">
      <c r="A696" s="2" t="s">
        <v>753</v>
      </c>
      <c r="B696" s="2" t="s">
        <v>319</v>
      </c>
      <c r="C696" s="2"/>
      <c r="D696" s="6"/>
      <c r="E696" s="3"/>
      <c r="F696" s="3">
        <v>0</v>
      </c>
    </row>
    <row r="697" spans="1:6" x14ac:dyDescent="0.25">
      <c r="A697" s="2" t="s">
        <v>746</v>
      </c>
      <c r="B697" s="2" t="s">
        <v>320</v>
      </c>
      <c r="C697" s="2"/>
      <c r="D697" s="6"/>
      <c r="E697" s="3"/>
      <c r="F697" s="3">
        <v>600000</v>
      </c>
    </row>
    <row r="698" spans="1:6" ht="15.75" thickBot="1" x14ac:dyDescent="0.3">
      <c r="A698" s="1" t="s">
        <v>746</v>
      </c>
      <c r="B698" s="4" t="s">
        <v>171</v>
      </c>
      <c r="C698" s="4"/>
      <c r="D698" s="7">
        <v>45306</v>
      </c>
      <c r="E698" s="8">
        <v>300000</v>
      </c>
      <c r="F698" s="8">
        <f>ROUND(F697+E698,5)</f>
        <v>900000</v>
      </c>
    </row>
    <row r="699" spans="1:6" x14ac:dyDescent="0.25">
      <c r="A699" s="2" t="s">
        <v>747</v>
      </c>
      <c r="B699" s="2" t="s">
        <v>321</v>
      </c>
      <c r="C699" s="2"/>
      <c r="D699" s="6"/>
      <c r="E699" s="3"/>
      <c r="F699" s="3">
        <v>65000</v>
      </c>
    </row>
    <row r="700" spans="1:6" x14ac:dyDescent="0.25">
      <c r="A700" s="2" t="s">
        <v>754</v>
      </c>
      <c r="B700" s="2" t="s">
        <v>322</v>
      </c>
      <c r="C700" s="2"/>
      <c r="D700" s="6"/>
      <c r="E700" s="3"/>
      <c r="F700" s="3">
        <v>0</v>
      </c>
    </row>
    <row r="701" spans="1:6" ht="15.75" thickBot="1" x14ac:dyDescent="0.3">
      <c r="A701" s="1" t="s">
        <v>754</v>
      </c>
      <c r="B701" s="4" t="s">
        <v>171</v>
      </c>
      <c r="C701" s="4"/>
      <c r="D701" s="7">
        <v>45322</v>
      </c>
      <c r="E701" s="8">
        <v>400000</v>
      </c>
      <c r="F701" s="8">
        <f>ROUND(F700+E701,5)</f>
        <v>400000</v>
      </c>
    </row>
    <row r="702" spans="1:6" x14ac:dyDescent="0.25">
      <c r="A702" s="2" t="s">
        <v>748</v>
      </c>
      <c r="B702" s="2" t="s">
        <v>323</v>
      </c>
      <c r="C702" s="2"/>
      <c r="D702" s="6"/>
      <c r="E702" s="3"/>
      <c r="F702" s="3">
        <v>0</v>
      </c>
    </row>
    <row r="703" spans="1:6" x14ac:dyDescent="0.25">
      <c r="A703" s="4" t="s">
        <v>748</v>
      </c>
      <c r="B703" s="4" t="s">
        <v>171</v>
      </c>
      <c r="C703" s="4"/>
      <c r="D703" s="7">
        <v>45306</v>
      </c>
      <c r="E703" s="5">
        <v>300000</v>
      </c>
      <c r="F703" s="5">
        <f>ROUND(F702+E703,5)</f>
        <v>300000</v>
      </c>
    </row>
    <row r="704" spans="1:6" ht="15.75" thickBot="1" x14ac:dyDescent="0.3">
      <c r="A704" s="4" t="s">
        <v>748</v>
      </c>
      <c r="B704" s="4" t="s">
        <v>170</v>
      </c>
      <c r="C704" s="4"/>
      <c r="D704" s="7">
        <v>45355</v>
      </c>
      <c r="E704" s="8">
        <v>-600000</v>
      </c>
      <c r="F704" s="8">
        <f>ROUND(F703+E704,5)</f>
        <v>-300000</v>
      </c>
    </row>
    <row r="705" spans="1:6" x14ac:dyDescent="0.25">
      <c r="A705" s="2" t="s">
        <v>749</v>
      </c>
      <c r="B705" s="2" t="s">
        <v>324</v>
      </c>
      <c r="C705" s="2"/>
      <c r="D705" s="6"/>
      <c r="E705" s="3"/>
      <c r="F705" s="3">
        <v>840300</v>
      </c>
    </row>
    <row r="706" spans="1:6" ht="15.75" thickBot="1" x14ac:dyDescent="0.3">
      <c r="A706" s="1" t="s">
        <v>749</v>
      </c>
      <c r="B706" s="4" t="s">
        <v>171</v>
      </c>
      <c r="C706" s="4"/>
      <c r="D706" s="7">
        <v>45306</v>
      </c>
      <c r="E706" s="8">
        <v>300000</v>
      </c>
      <c r="F706" s="8">
        <f>ROUND(F705+E706,5)</f>
        <v>1140300</v>
      </c>
    </row>
    <row r="707" spans="1:6" x14ac:dyDescent="0.25">
      <c r="A707" s="2" t="s">
        <v>752</v>
      </c>
      <c r="B707" s="2" t="s">
        <v>325</v>
      </c>
      <c r="C707" s="2"/>
      <c r="D707" s="6"/>
      <c r="E707" s="3"/>
      <c r="F707" s="3">
        <v>0</v>
      </c>
    </row>
    <row r="708" spans="1:6" x14ac:dyDescent="0.25">
      <c r="A708" s="4" t="s">
        <v>752</v>
      </c>
      <c r="B708" s="4" t="s">
        <v>170</v>
      </c>
      <c r="C708" s="4"/>
      <c r="D708" s="7">
        <v>45320</v>
      </c>
      <c r="E708" s="5">
        <v>-600000</v>
      </c>
      <c r="F708" s="5">
        <f>ROUND(F707+E708,5)</f>
        <v>-600000</v>
      </c>
    </row>
    <row r="709" spans="1:6" ht="15.75" thickBot="1" x14ac:dyDescent="0.3">
      <c r="A709" s="4" t="s">
        <v>752</v>
      </c>
      <c r="B709" s="4" t="s">
        <v>171</v>
      </c>
      <c r="C709" s="4"/>
      <c r="D709" s="7">
        <v>45322</v>
      </c>
      <c r="E709" s="8">
        <v>300000</v>
      </c>
      <c r="F709" s="8">
        <f>ROUND(F708+E709,5)</f>
        <v>-300000</v>
      </c>
    </row>
    <row r="710" spans="1:6" x14ac:dyDescent="0.25">
      <c r="A710" s="2" t="s">
        <v>755</v>
      </c>
      <c r="B710" s="2" t="s">
        <v>326</v>
      </c>
      <c r="C710" s="2"/>
      <c r="D710" s="6"/>
      <c r="E710" s="3"/>
      <c r="F710" s="3">
        <v>10000</v>
      </c>
    </row>
    <row r="711" spans="1:6" x14ac:dyDescent="0.25">
      <c r="A711" s="4" t="s">
        <v>755</v>
      </c>
      <c r="B711" s="4" t="s">
        <v>171</v>
      </c>
      <c r="C711" s="4"/>
      <c r="D711" s="7">
        <v>45306</v>
      </c>
      <c r="E711" s="5">
        <v>300000</v>
      </c>
      <c r="F711" s="5">
        <f>ROUND(F710+E711,5)</f>
        <v>310000</v>
      </c>
    </row>
    <row r="712" spans="1:6" x14ac:dyDescent="0.25">
      <c r="A712" s="4" t="s">
        <v>755</v>
      </c>
      <c r="B712" s="4" t="s">
        <v>170</v>
      </c>
      <c r="C712" s="4"/>
      <c r="D712" s="7">
        <v>45343</v>
      </c>
      <c r="E712" s="5">
        <v>-10000</v>
      </c>
      <c r="F712" s="5">
        <f>ROUND(F711+E712,5)</f>
        <v>300000</v>
      </c>
    </row>
    <row r="713" spans="1:6" x14ac:dyDescent="0.25">
      <c r="A713" s="4" t="s">
        <v>755</v>
      </c>
      <c r="B713" s="4" t="s">
        <v>170</v>
      </c>
      <c r="C713" s="4"/>
      <c r="D713" s="7">
        <v>45386</v>
      </c>
      <c r="E713" s="5">
        <v>-132000</v>
      </c>
      <c r="F713" s="5">
        <f>ROUND(F712+E713,5)</f>
        <v>168000</v>
      </c>
    </row>
    <row r="714" spans="1:6" ht="15.75" thickBot="1" x14ac:dyDescent="0.3">
      <c r="A714" s="4" t="s">
        <v>755</v>
      </c>
      <c r="B714" s="4" t="s">
        <v>170</v>
      </c>
      <c r="C714" s="4"/>
      <c r="D714" s="7">
        <v>45414</v>
      </c>
      <c r="E714" s="8">
        <v>-40000</v>
      </c>
      <c r="F714" s="8">
        <f>ROUND(F713+E714,5)</f>
        <v>128000</v>
      </c>
    </row>
    <row r="715" spans="1:6" x14ac:dyDescent="0.25">
      <c r="A715" s="2" t="s">
        <v>756</v>
      </c>
      <c r="B715" s="2" t="s">
        <v>327</v>
      </c>
      <c r="C715" s="2"/>
      <c r="D715" s="6"/>
      <c r="E715" s="3"/>
      <c r="F715" s="3">
        <v>1</v>
      </c>
    </row>
    <row r="716" spans="1:6" x14ac:dyDescent="0.25">
      <c r="A716" s="2" t="s">
        <v>762</v>
      </c>
      <c r="B716" s="2" t="s">
        <v>328</v>
      </c>
      <c r="C716" s="2"/>
      <c r="D716" s="6"/>
      <c r="E716" s="3"/>
      <c r="F716" s="3">
        <v>0</v>
      </c>
    </row>
    <row r="717" spans="1:6" ht="15.75" thickBot="1" x14ac:dyDescent="0.3">
      <c r="A717" s="1" t="s">
        <v>762</v>
      </c>
      <c r="B717" s="4" t="s">
        <v>170</v>
      </c>
      <c r="C717" s="4"/>
      <c r="D717" s="7">
        <v>45317</v>
      </c>
      <c r="E717" s="8">
        <v>-10000</v>
      </c>
      <c r="F717" s="8">
        <f>ROUND(F716+E717,5)</f>
        <v>-10000</v>
      </c>
    </row>
    <row r="718" spans="1:6" x14ac:dyDescent="0.25">
      <c r="A718" s="2" t="s">
        <v>757</v>
      </c>
      <c r="B718" s="2" t="s">
        <v>329</v>
      </c>
      <c r="C718" s="2"/>
      <c r="D718" s="6"/>
      <c r="E718" s="3"/>
      <c r="F718" s="3">
        <v>0</v>
      </c>
    </row>
    <row r="719" spans="1:6" x14ac:dyDescent="0.25">
      <c r="A719" s="2" t="s">
        <v>758</v>
      </c>
      <c r="B719" s="2" t="s">
        <v>330</v>
      </c>
      <c r="C719" s="2"/>
      <c r="D719" s="6"/>
      <c r="E719" s="3"/>
      <c r="F719" s="3">
        <v>65000</v>
      </c>
    </row>
    <row r="720" spans="1:6" ht="15.75" thickBot="1" x14ac:dyDescent="0.3">
      <c r="A720" s="1" t="s">
        <v>758</v>
      </c>
      <c r="B720" s="4" t="s">
        <v>172</v>
      </c>
      <c r="C720" s="4"/>
      <c r="D720" s="7">
        <v>45292</v>
      </c>
      <c r="E720" s="8">
        <v>-65000</v>
      </c>
      <c r="F720" s="8">
        <f>ROUND(F719+E720,5)</f>
        <v>0</v>
      </c>
    </row>
    <row r="721" spans="1:6" x14ac:dyDescent="0.25">
      <c r="A721" s="2" t="s">
        <v>759</v>
      </c>
      <c r="B721" s="2" t="s">
        <v>331</v>
      </c>
      <c r="C721" s="2"/>
      <c r="D721" s="6"/>
      <c r="E721" s="3"/>
      <c r="F721" s="3">
        <v>-495</v>
      </c>
    </row>
    <row r="722" spans="1:6" x14ac:dyDescent="0.25">
      <c r="A722" s="2" t="s">
        <v>760</v>
      </c>
      <c r="B722" s="2" t="s">
        <v>332</v>
      </c>
      <c r="C722" s="2"/>
      <c r="D722" s="6"/>
      <c r="E722" s="3"/>
      <c r="F722" s="3">
        <v>0</v>
      </c>
    </row>
    <row r="723" spans="1:6" x14ac:dyDescent="0.25">
      <c r="A723" s="2" t="s">
        <v>761</v>
      </c>
      <c r="B723" s="2" t="s">
        <v>333</v>
      </c>
      <c r="C723" s="2"/>
      <c r="D723" s="6"/>
      <c r="E723" s="3"/>
      <c r="F723" s="3">
        <v>565000</v>
      </c>
    </row>
    <row r="724" spans="1:6" ht="15.75" thickBot="1" x14ac:dyDescent="0.3">
      <c r="A724" s="1" t="s">
        <v>761</v>
      </c>
      <c r="B724" s="4" t="s">
        <v>170</v>
      </c>
      <c r="C724" s="4"/>
      <c r="D724" s="7">
        <v>45362</v>
      </c>
      <c r="E724" s="8">
        <v>-65000</v>
      </c>
      <c r="F724" s="8">
        <f>ROUND(F723+E724,5)</f>
        <v>500000</v>
      </c>
    </row>
    <row r="725" spans="1:6" x14ac:dyDescent="0.25">
      <c r="A725" s="2" t="s">
        <v>764</v>
      </c>
      <c r="B725" s="2" t="s">
        <v>334</v>
      </c>
      <c r="C725" s="2"/>
      <c r="D725" s="6"/>
      <c r="E725" s="3"/>
      <c r="F725" s="3">
        <v>0</v>
      </c>
    </row>
    <row r="726" spans="1:6" x14ac:dyDescent="0.25">
      <c r="A726" s="4" t="s">
        <v>764</v>
      </c>
      <c r="B726" s="4" t="s">
        <v>171</v>
      </c>
      <c r="C726" s="4"/>
      <c r="D726" s="7">
        <v>45306</v>
      </c>
      <c r="E726" s="5">
        <v>300000</v>
      </c>
      <c r="F726" s="5">
        <f>ROUND(F725+E726,5)</f>
        <v>300000</v>
      </c>
    </row>
    <row r="727" spans="1:6" ht="15.75" thickBot="1" x14ac:dyDescent="0.3">
      <c r="A727" s="4" t="s">
        <v>764</v>
      </c>
      <c r="B727" s="4" t="s">
        <v>170</v>
      </c>
      <c r="C727" s="4"/>
      <c r="D727" s="7">
        <v>45436</v>
      </c>
      <c r="E727" s="8">
        <v>-400000</v>
      </c>
      <c r="F727" s="8">
        <f>ROUND(F726+E727,5)</f>
        <v>-100000</v>
      </c>
    </row>
    <row r="728" spans="1:6" x14ac:dyDescent="0.25">
      <c r="A728" s="2" t="s">
        <v>763</v>
      </c>
      <c r="B728" s="2" t="s">
        <v>335</v>
      </c>
      <c r="C728" s="2"/>
      <c r="D728" s="6"/>
      <c r="E728" s="3"/>
      <c r="F728" s="3">
        <v>800500</v>
      </c>
    </row>
    <row r="729" spans="1:6" x14ac:dyDescent="0.25">
      <c r="A729" s="2" t="s">
        <v>606</v>
      </c>
      <c r="B729" s="2" t="s">
        <v>336</v>
      </c>
      <c r="C729" s="2"/>
      <c r="D729" s="6"/>
      <c r="E729" s="3"/>
      <c r="F729" s="3">
        <v>0</v>
      </c>
    </row>
    <row r="730" spans="1:6" x14ac:dyDescent="0.25">
      <c r="A730" s="4" t="s">
        <v>606</v>
      </c>
      <c r="B730" s="4" t="s">
        <v>171</v>
      </c>
      <c r="C730" s="4"/>
      <c r="D730" s="7">
        <v>45306</v>
      </c>
      <c r="E730" s="5">
        <v>300000</v>
      </c>
      <c r="F730" s="5">
        <f>ROUND(F729+E730,5)</f>
        <v>300000</v>
      </c>
    </row>
    <row r="731" spans="1:6" ht="15.75" thickBot="1" x14ac:dyDescent="0.3">
      <c r="A731" s="4" t="s">
        <v>606</v>
      </c>
      <c r="B731" s="4" t="s">
        <v>170</v>
      </c>
      <c r="C731" s="4"/>
      <c r="D731" s="7">
        <v>45355</v>
      </c>
      <c r="E731" s="8">
        <v>-600000</v>
      </c>
      <c r="F731" s="8">
        <f>ROUND(F730+E731,5)</f>
        <v>-300000</v>
      </c>
    </row>
    <row r="732" spans="1:6" x14ac:dyDescent="0.25">
      <c r="A732" s="2" t="s">
        <v>765</v>
      </c>
      <c r="B732" s="2" t="s">
        <v>337</v>
      </c>
      <c r="C732" s="2"/>
      <c r="D732" s="6"/>
      <c r="E732" s="3"/>
      <c r="F732" s="3">
        <v>300000</v>
      </c>
    </row>
    <row r="733" spans="1:6" ht="15.75" thickBot="1" x14ac:dyDescent="0.3">
      <c r="A733" s="1" t="s">
        <v>765</v>
      </c>
      <c r="B733" s="4" t="s">
        <v>171</v>
      </c>
      <c r="C733" s="4"/>
      <c r="D733" s="7">
        <v>45306</v>
      </c>
      <c r="E733" s="8">
        <v>300000</v>
      </c>
      <c r="F733" s="8">
        <f>ROUND(F732+E733,5)</f>
        <v>600000</v>
      </c>
    </row>
    <row r="734" spans="1:6" x14ac:dyDescent="0.25">
      <c r="A734" s="2" t="s">
        <v>766</v>
      </c>
      <c r="B734" s="2" t="s">
        <v>338</v>
      </c>
      <c r="C734" s="2"/>
      <c r="D734" s="6"/>
      <c r="E734" s="3"/>
      <c r="F734" s="3">
        <v>1175000</v>
      </c>
    </row>
    <row r="735" spans="1:6" x14ac:dyDescent="0.25">
      <c r="A735" s="2" t="s">
        <v>767</v>
      </c>
      <c r="B735" s="2" t="s">
        <v>339</v>
      </c>
      <c r="C735" s="2"/>
      <c r="D735" s="6"/>
      <c r="E735" s="3"/>
      <c r="F735" s="3">
        <v>0</v>
      </c>
    </row>
    <row r="736" spans="1:6" x14ac:dyDescent="0.25">
      <c r="A736" s="2" t="s">
        <v>768</v>
      </c>
      <c r="B736" s="2" t="s">
        <v>340</v>
      </c>
      <c r="C736" s="2"/>
      <c r="D736" s="6"/>
      <c r="E736" s="3"/>
      <c r="F736" s="3">
        <v>0</v>
      </c>
    </row>
    <row r="737" spans="1:6" x14ac:dyDescent="0.25">
      <c r="A737" s="2" t="s">
        <v>769</v>
      </c>
      <c r="B737" s="2" t="s">
        <v>341</v>
      </c>
      <c r="C737" s="2"/>
      <c r="D737" s="6"/>
      <c r="E737" s="3"/>
      <c r="F737" s="3">
        <v>0</v>
      </c>
    </row>
    <row r="738" spans="1:6" x14ac:dyDescent="0.25">
      <c r="A738" s="2" t="s">
        <v>770</v>
      </c>
      <c r="B738" s="2" t="s">
        <v>342</v>
      </c>
      <c r="C738" s="2"/>
      <c r="D738" s="6"/>
      <c r="E738" s="3"/>
      <c r="F738" s="3">
        <v>0</v>
      </c>
    </row>
    <row r="739" spans="1:6" x14ac:dyDescent="0.25">
      <c r="A739" s="2" t="s">
        <v>710</v>
      </c>
      <c r="B739" s="2" t="s">
        <v>343</v>
      </c>
      <c r="C739" s="2"/>
      <c r="D739" s="6"/>
      <c r="E739" s="3"/>
      <c r="F739" s="3">
        <v>-50000</v>
      </c>
    </row>
    <row r="740" spans="1:6" x14ac:dyDescent="0.25">
      <c r="A740" s="2" t="s">
        <v>773</v>
      </c>
      <c r="B740" s="2" t="s">
        <v>344</v>
      </c>
      <c r="C740" s="2"/>
      <c r="D740" s="6"/>
      <c r="E740" s="3"/>
      <c r="F740" s="3">
        <v>0</v>
      </c>
    </row>
    <row r="741" spans="1:6" x14ac:dyDescent="0.25">
      <c r="A741" s="4" t="s">
        <v>773</v>
      </c>
      <c r="B741" s="4" t="s">
        <v>171</v>
      </c>
      <c r="C741" s="4"/>
      <c r="D741" s="7">
        <v>45306</v>
      </c>
      <c r="E741" s="5">
        <v>425000</v>
      </c>
      <c r="F741" s="5">
        <f>ROUND(F740+E741,5)</f>
        <v>425000</v>
      </c>
    </row>
    <row r="742" spans="1:6" ht="15.75" thickBot="1" x14ac:dyDescent="0.3">
      <c r="A742" s="4" t="s">
        <v>773</v>
      </c>
      <c r="B742" s="4" t="s">
        <v>173</v>
      </c>
      <c r="C742" s="4"/>
      <c r="D742" s="7">
        <v>45336</v>
      </c>
      <c r="E742" s="8">
        <v>-25000</v>
      </c>
      <c r="F742" s="8">
        <f>ROUND(F741+E742,5)</f>
        <v>400000</v>
      </c>
    </row>
    <row r="743" spans="1:6" x14ac:dyDescent="0.25">
      <c r="A743" s="2" t="s">
        <v>771</v>
      </c>
      <c r="B743" s="2" t="s">
        <v>345</v>
      </c>
      <c r="C743" s="2"/>
      <c r="D743" s="6"/>
      <c r="E743" s="3"/>
      <c r="F743" s="3">
        <v>0</v>
      </c>
    </row>
    <row r="744" spans="1:6" x14ac:dyDescent="0.25">
      <c r="A744" s="2" t="s">
        <v>772</v>
      </c>
      <c r="B744" s="2" t="s">
        <v>346</v>
      </c>
      <c r="C744" s="2"/>
      <c r="D744" s="6"/>
      <c r="E744" s="3"/>
      <c r="F744" s="3">
        <v>270000</v>
      </c>
    </row>
    <row r="745" spans="1:6" x14ac:dyDescent="0.25">
      <c r="A745" s="4" t="s">
        <v>772</v>
      </c>
      <c r="B745" s="4" t="s">
        <v>172</v>
      </c>
      <c r="C745" s="4"/>
      <c r="D745" s="7">
        <v>45322</v>
      </c>
      <c r="E745" s="5">
        <v>-50000</v>
      </c>
      <c r="F745" s="5">
        <f t="shared" ref="F745:F750" si="2">ROUND(F744+E745,5)</f>
        <v>220000</v>
      </c>
    </row>
    <row r="746" spans="1:6" x14ac:dyDescent="0.25">
      <c r="A746" s="4" t="s">
        <v>772</v>
      </c>
      <c r="B746" s="4" t="s">
        <v>172</v>
      </c>
      <c r="C746" s="4"/>
      <c r="D746" s="7">
        <v>45351</v>
      </c>
      <c r="E746" s="5">
        <v>-50000</v>
      </c>
      <c r="F746" s="5">
        <f t="shared" si="2"/>
        <v>170000</v>
      </c>
    </row>
    <row r="747" spans="1:6" x14ac:dyDescent="0.25">
      <c r="A747" s="4" t="s">
        <v>772</v>
      </c>
      <c r="B747" s="4" t="s">
        <v>172</v>
      </c>
      <c r="C747" s="4"/>
      <c r="D747" s="7">
        <v>45382</v>
      </c>
      <c r="E747" s="5">
        <v>-50000</v>
      </c>
      <c r="F747" s="5">
        <f t="shared" si="2"/>
        <v>120000</v>
      </c>
    </row>
    <row r="748" spans="1:6" x14ac:dyDescent="0.25">
      <c r="A748" s="4" t="s">
        <v>772</v>
      </c>
      <c r="B748" s="4" t="s">
        <v>171</v>
      </c>
      <c r="C748" s="4"/>
      <c r="D748" s="7">
        <v>45382</v>
      </c>
      <c r="E748" s="5">
        <v>65000</v>
      </c>
      <c r="F748" s="5">
        <f t="shared" si="2"/>
        <v>185000</v>
      </c>
    </row>
    <row r="749" spans="1:6" x14ac:dyDescent="0.25">
      <c r="A749" s="4" t="s">
        <v>772</v>
      </c>
      <c r="B749" s="4" t="s">
        <v>172</v>
      </c>
      <c r="C749" s="4"/>
      <c r="D749" s="7">
        <v>45412</v>
      </c>
      <c r="E749" s="5">
        <v>-50000</v>
      </c>
      <c r="F749" s="5">
        <f t="shared" si="2"/>
        <v>135000</v>
      </c>
    </row>
    <row r="750" spans="1:6" ht="15.75" thickBot="1" x14ac:dyDescent="0.3">
      <c r="A750" s="4" t="s">
        <v>772</v>
      </c>
      <c r="B750" s="4" t="s">
        <v>172</v>
      </c>
      <c r="C750" s="4"/>
      <c r="D750" s="7">
        <v>45443</v>
      </c>
      <c r="E750" s="8">
        <v>-50000</v>
      </c>
      <c r="F750" s="8">
        <f t="shared" si="2"/>
        <v>85000</v>
      </c>
    </row>
    <row r="751" spans="1:6" x14ac:dyDescent="0.25">
      <c r="A751" s="2" t="s">
        <v>777</v>
      </c>
      <c r="B751" s="2" t="s">
        <v>347</v>
      </c>
      <c r="C751" s="2"/>
      <c r="D751" s="6"/>
      <c r="E751" s="3"/>
      <c r="F751" s="3">
        <v>200000</v>
      </c>
    </row>
    <row r="752" spans="1:6" x14ac:dyDescent="0.25">
      <c r="A752" s="4" t="s">
        <v>777</v>
      </c>
      <c r="B752" s="4" t="s">
        <v>171</v>
      </c>
      <c r="C752" s="4"/>
      <c r="D752" s="7">
        <v>45322</v>
      </c>
      <c r="E752" s="5">
        <v>400000</v>
      </c>
      <c r="F752" s="5">
        <f>ROUND(F751+E752,5)</f>
        <v>600000</v>
      </c>
    </row>
    <row r="753" spans="1:6" ht="15.75" thickBot="1" x14ac:dyDescent="0.3">
      <c r="A753" s="4" t="s">
        <v>777</v>
      </c>
      <c r="B753" s="4" t="s">
        <v>170</v>
      </c>
      <c r="C753" s="4"/>
      <c r="D753" s="7">
        <v>45350</v>
      </c>
      <c r="E753" s="8">
        <v>-200000</v>
      </c>
      <c r="F753" s="8">
        <f>ROUND(F752+E753,5)</f>
        <v>400000</v>
      </c>
    </row>
    <row r="754" spans="1:6" x14ac:dyDescent="0.25">
      <c r="A754" s="2" t="s">
        <v>774</v>
      </c>
      <c r="B754" s="2" t="s">
        <v>348</v>
      </c>
      <c r="C754" s="2"/>
      <c r="D754" s="6"/>
      <c r="E754" s="3"/>
      <c r="F754" s="3">
        <v>73100</v>
      </c>
    </row>
    <row r="755" spans="1:6" ht="15.75" thickBot="1" x14ac:dyDescent="0.3">
      <c r="A755" s="1" t="s">
        <v>774</v>
      </c>
      <c r="B755" s="4" t="s">
        <v>170</v>
      </c>
      <c r="C755" s="4"/>
      <c r="D755" s="7">
        <v>45317</v>
      </c>
      <c r="E755" s="8">
        <v>-65000</v>
      </c>
      <c r="F755" s="8">
        <f>ROUND(F754+E755,5)</f>
        <v>8100</v>
      </c>
    </row>
    <row r="756" spans="1:6" x14ac:dyDescent="0.25">
      <c r="A756" s="2" t="s">
        <v>775</v>
      </c>
      <c r="B756" s="2" t="s">
        <v>349</v>
      </c>
      <c r="C756" s="2"/>
      <c r="D756" s="6"/>
      <c r="E756" s="3"/>
      <c r="F756" s="3">
        <v>1080000</v>
      </c>
    </row>
    <row r="757" spans="1:6" x14ac:dyDescent="0.25">
      <c r="A757" s="2" t="s">
        <v>776</v>
      </c>
      <c r="B757" s="2" t="s">
        <v>350</v>
      </c>
      <c r="C757" s="2"/>
      <c r="D757" s="6"/>
      <c r="E757" s="3"/>
      <c r="F757" s="3">
        <v>665000</v>
      </c>
    </row>
    <row r="758" spans="1:6" x14ac:dyDescent="0.25">
      <c r="A758" s="4" t="s">
        <v>776</v>
      </c>
      <c r="B758" s="4" t="s">
        <v>170</v>
      </c>
      <c r="C758" s="4"/>
      <c r="D758" s="7">
        <v>45351</v>
      </c>
      <c r="E758" s="5">
        <v>-65000</v>
      </c>
      <c r="F758" s="5">
        <f>ROUND(F757+E758,5)</f>
        <v>600000</v>
      </c>
    </row>
    <row r="759" spans="1:6" ht="15.75" thickBot="1" x14ac:dyDescent="0.3">
      <c r="A759" s="4" t="s">
        <v>776</v>
      </c>
      <c r="B759" s="4" t="s">
        <v>170</v>
      </c>
      <c r="C759" s="4"/>
      <c r="D759" s="7">
        <v>45370</v>
      </c>
      <c r="E759" s="8">
        <v>-600000</v>
      </c>
      <c r="F759" s="8">
        <f>ROUND(F758+E759,5)</f>
        <v>0</v>
      </c>
    </row>
    <row r="760" spans="1:6" x14ac:dyDescent="0.25">
      <c r="A760" s="2" t="s">
        <v>779</v>
      </c>
      <c r="B760" s="2" t="s">
        <v>351</v>
      </c>
      <c r="C760" s="2"/>
      <c r="D760" s="6"/>
      <c r="E760" s="3"/>
      <c r="F760" s="3">
        <v>0</v>
      </c>
    </row>
    <row r="761" spans="1:6" x14ac:dyDescent="0.25">
      <c r="A761" s="2" t="s">
        <v>778</v>
      </c>
      <c r="B761" s="2" t="s">
        <v>352</v>
      </c>
      <c r="C761" s="2"/>
      <c r="D761" s="6"/>
      <c r="E761" s="3"/>
      <c r="F761" s="3">
        <v>65000</v>
      </c>
    </row>
    <row r="762" spans="1:6" ht="15.75" thickBot="1" x14ac:dyDescent="0.3">
      <c r="A762" s="1" t="s">
        <v>778</v>
      </c>
      <c r="B762" s="4" t="s">
        <v>171</v>
      </c>
      <c r="C762" s="4"/>
      <c r="D762" s="7">
        <v>45306</v>
      </c>
      <c r="E762" s="8">
        <v>300000</v>
      </c>
      <c r="F762" s="8">
        <f>ROUND(F761+E762,5)</f>
        <v>365000</v>
      </c>
    </row>
    <row r="763" spans="1:6" x14ac:dyDescent="0.25">
      <c r="A763" s="2" t="s">
        <v>780</v>
      </c>
      <c r="B763" s="2" t="s">
        <v>353</v>
      </c>
      <c r="C763" s="2"/>
      <c r="D763" s="6"/>
      <c r="E763" s="3"/>
      <c r="F763" s="3">
        <v>1200000</v>
      </c>
    </row>
    <row r="764" spans="1:6" x14ac:dyDescent="0.25">
      <c r="A764" s="2" t="s">
        <v>781</v>
      </c>
      <c r="B764" s="2" t="s">
        <v>354</v>
      </c>
      <c r="C764" s="2"/>
      <c r="D764" s="6"/>
      <c r="E764" s="3"/>
      <c r="F764" s="3">
        <v>0</v>
      </c>
    </row>
    <row r="765" spans="1:6" x14ac:dyDescent="0.25">
      <c r="A765" s="2" t="s">
        <v>782</v>
      </c>
      <c r="B765" s="2" t="s">
        <v>355</v>
      </c>
      <c r="C765" s="2"/>
      <c r="D765" s="6"/>
      <c r="E765" s="3"/>
      <c r="F765" s="3">
        <v>1200000</v>
      </c>
    </row>
    <row r="766" spans="1:6" x14ac:dyDescent="0.25">
      <c r="A766" s="2" t="s">
        <v>786</v>
      </c>
      <c r="B766" s="2" t="s">
        <v>356</v>
      </c>
      <c r="C766" s="2"/>
      <c r="D766" s="6"/>
      <c r="E766" s="3"/>
      <c r="F766" s="3">
        <v>1500000</v>
      </c>
    </row>
    <row r="767" spans="1:6" x14ac:dyDescent="0.25">
      <c r="A767" s="2" t="s">
        <v>783</v>
      </c>
      <c r="B767" s="2" t="s">
        <v>357</v>
      </c>
      <c r="C767" s="2"/>
      <c r="D767" s="6"/>
      <c r="E767" s="3"/>
      <c r="F767" s="3">
        <v>1350000</v>
      </c>
    </row>
    <row r="768" spans="1:6" x14ac:dyDescent="0.25">
      <c r="A768" s="2" t="s">
        <v>784</v>
      </c>
      <c r="B768" s="2" t="s">
        <v>358</v>
      </c>
      <c r="C768" s="2"/>
      <c r="D768" s="6"/>
      <c r="E768" s="3"/>
      <c r="F768" s="3">
        <v>-300000</v>
      </c>
    </row>
    <row r="769" spans="1:6" x14ac:dyDescent="0.25">
      <c r="A769" s="4" t="s">
        <v>784</v>
      </c>
      <c r="B769" s="4" t="s">
        <v>171</v>
      </c>
      <c r="C769" s="4"/>
      <c r="D769" s="7">
        <v>45322</v>
      </c>
      <c r="E769" s="5">
        <v>300000</v>
      </c>
      <c r="F769" s="5">
        <f>ROUND(F768+E769,5)</f>
        <v>0</v>
      </c>
    </row>
    <row r="770" spans="1:6" ht="15.75" thickBot="1" x14ac:dyDescent="0.3">
      <c r="A770" s="4" t="s">
        <v>784</v>
      </c>
      <c r="B770" s="4" t="s">
        <v>170</v>
      </c>
      <c r="C770" s="4"/>
      <c r="D770" s="7">
        <v>45355</v>
      </c>
      <c r="E770" s="8">
        <v>-600000</v>
      </c>
      <c r="F770" s="8">
        <f>ROUND(F769+E770,5)</f>
        <v>-600000</v>
      </c>
    </row>
    <row r="771" spans="1:6" x14ac:dyDescent="0.25">
      <c r="A771" s="2" t="s">
        <v>784</v>
      </c>
      <c r="B771" s="2" t="s">
        <v>359</v>
      </c>
      <c r="C771" s="2"/>
      <c r="D771" s="6"/>
      <c r="E771" s="3"/>
      <c r="F771" s="3">
        <v>428250</v>
      </c>
    </row>
    <row r="772" spans="1:6" x14ac:dyDescent="0.25">
      <c r="A772" s="4" t="s">
        <v>784</v>
      </c>
      <c r="B772" s="4" t="s">
        <v>170</v>
      </c>
      <c r="C772" s="4"/>
      <c r="D772" s="7">
        <v>45370</v>
      </c>
      <c r="E772" s="5">
        <v>-200000</v>
      </c>
      <c r="F772" s="5">
        <f>ROUND(F771+E772,5)</f>
        <v>228250</v>
      </c>
    </row>
    <row r="773" spans="1:6" ht="15.75" thickBot="1" x14ac:dyDescent="0.3">
      <c r="A773" s="4" t="s">
        <v>784</v>
      </c>
      <c r="B773" s="4" t="s">
        <v>170</v>
      </c>
      <c r="C773" s="4"/>
      <c r="D773" s="7">
        <v>45391</v>
      </c>
      <c r="E773" s="8">
        <v>-100000</v>
      </c>
      <c r="F773" s="8">
        <f>ROUND(F772+E773,5)</f>
        <v>128250</v>
      </c>
    </row>
    <row r="774" spans="1:6" x14ac:dyDescent="0.25">
      <c r="A774" s="2" t="s">
        <v>785</v>
      </c>
      <c r="B774" s="2" t="s">
        <v>360</v>
      </c>
      <c r="C774" s="2"/>
      <c r="D774" s="6"/>
      <c r="E774" s="3"/>
      <c r="F774" s="3">
        <v>140000</v>
      </c>
    </row>
    <row r="775" spans="1:6" x14ac:dyDescent="0.25">
      <c r="A775" s="2" t="s">
        <v>788</v>
      </c>
      <c r="B775" s="2" t="s">
        <v>361</v>
      </c>
      <c r="C775" s="2"/>
      <c r="D775" s="6"/>
      <c r="E775" s="3"/>
      <c r="F775" s="3">
        <v>100000</v>
      </c>
    </row>
    <row r="776" spans="1:6" x14ac:dyDescent="0.25">
      <c r="A776" s="2" t="s">
        <v>789</v>
      </c>
      <c r="B776" s="2" t="s">
        <v>362</v>
      </c>
      <c r="C776" s="2"/>
      <c r="D776" s="6"/>
      <c r="E776" s="3"/>
      <c r="F776" s="3">
        <v>0</v>
      </c>
    </row>
    <row r="777" spans="1:6" ht="15.75" thickBot="1" x14ac:dyDescent="0.3">
      <c r="A777" s="1" t="s">
        <v>789</v>
      </c>
      <c r="B777" s="4" t="s">
        <v>171</v>
      </c>
      <c r="C777" s="4"/>
      <c r="D777" s="7">
        <v>45322</v>
      </c>
      <c r="E777" s="8">
        <v>400000</v>
      </c>
      <c r="F777" s="8">
        <f>ROUND(F776+E777,5)</f>
        <v>400000</v>
      </c>
    </row>
    <row r="778" spans="1:6" x14ac:dyDescent="0.25">
      <c r="A778" s="2" t="s">
        <v>787</v>
      </c>
      <c r="B778" s="2" t="s">
        <v>363</v>
      </c>
      <c r="C778" s="2"/>
      <c r="D778" s="6"/>
      <c r="E778" s="3"/>
      <c r="F778" s="3">
        <v>0</v>
      </c>
    </row>
    <row r="779" spans="1:6" x14ac:dyDescent="0.25">
      <c r="A779" s="2" t="s">
        <v>790</v>
      </c>
      <c r="B779" s="2" t="s">
        <v>364</v>
      </c>
      <c r="C779" s="2"/>
      <c r="D779" s="6"/>
      <c r="E779" s="3"/>
      <c r="F779" s="3">
        <v>0</v>
      </c>
    </row>
    <row r="780" spans="1:6" x14ac:dyDescent="0.25">
      <c r="A780" s="4" t="s">
        <v>790</v>
      </c>
      <c r="B780" s="4" t="s">
        <v>170</v>
      </c>
      <c r="C780" s="4"/>
      <c r="D780" s="7">
        <v>45301</v>
      </c>
      <c r="E780" s="5">
        <v>-225000</v>
      </c>
      <c r="F780" s="5">
        <f>ROUND(F779+E780,5)</f>
        <v>-225000</v>
      </c>
    </row>
    <row r="781" spans="1:6" x14ac:dyDescent="0.25">
      <c r="A781" s="4" t="s">
        <v>790</v>
      </c>
      <c r="B781" s="4" t="s">
        <v>171</v>
      </c>
      <c r="C781" s="4"/>
      <c r="D781" s="7">
        <v>45306</v>
      </c>
      <c r="E781" s="5">
        <v>325000</v>
      </c>
      <c r="F781" s="5">
        <f>ROUND(F780+E781,5)</f>
        <v>100000</v>
      </c>
    </row>
    <row r="782" spans="1:6" ht="15.75" thickBot="1" x14ac:dyDescent="0.3">
      <c r="A782" s="4" t="s">
        <v>790</v>
      </c>
      <c r="B782" s="4" t="s">
        <v>170</v>
      </c>
      <c r="C782" s="4"/>
      <c r="D782" s="7">
        <v>45372</v>
      </c>
      <c r="E782" s="8">
        <v>-100000</v>
      </c>
      <c r="F782" s="8">
        <f>ROUND(F781+E782,5)</f>
        <v>0</v>
      </c>
    </row>
    <row r="783" spans="1:6" x14ac:dyDescent="0.25">
      <c r="A783" s="2" t="s">
        <v>791</v>
      </c>
      <c r="B783" s="2" t="s">
        <v>365</v>
      </c>
      <c r="C783" s="2"/>
      <c r="D783" s="6"/>
      <c r="E783" s="3"/>
      <c r="F783" s="3">
        <v>0</v>
      </c>
    </row>
    <row r="784" spans="1:6" x14ac:dyDescent="0.25">
      <c r="A784" s="4" t="s">
        <v>791</v>
      </c>
      <c r="B784" s="4" t="s">
        <v>171</v>
      </c>
      <c r="C784" s="4"/>
      <c r="D784" s="7">
        <v>45322</v>
      </c>
      <c r="E784" s="5">
        <v>400000</v>
      </c>
      <c r="F784" s="5">
        <f>ROUND(F783+E784,5)</f>
        <v>400000</v>
      </c>
    </row>
    <row r="785" spans="1:6" ht="15.75" thickBot="1" x14ac:dyDescent="0.3">
      <c r="A785" s="4" t="s">
        <v>791</v>
      </c>
      <c r="B785" s="4" t="s">
        <v>172</v>
      </c>
      <c r="C785" s="4"/>
      <c r="D785" s="7">
        <v>45322</v>
      </c>
      <c r="E785" s="8">
        <v>-400000</v>
      </c>
      <c r="F785" s="8">
        <f>ROUND(F784+E785,5)</f>
        <v>0</v>
      </c>
    </row>
    <row r="786" spans="1:6" x14ac:dyDescent="0.25">
      <c r="A786" s="2" t="s">
        <v>792</v>
      </c>
      <c r="B786" s="2" t="s">
        <v>366</v>
      </c>
      <c r="C786" s="2"/>
      <c r="D786" s="6"/>
      <c r="E786" s="3"/>
      <c r="F786" s="3">
        <v>405020</v>
      </c>
    </row>
    <row r="787" spans="1:6" x14ac:dyDescent="0.25">
      <c r="A787" s="2" t="s">
        <v>793</v>
      </c>
      <c r="B787" s="2" t="s">
        <v>367</v>
      </c>
      <c r="C787" s="2"/>
      <c r="D787" s="6"/>
      <c r="E787" s="3"/>
      <c r="F787" s="3">
        <v>800000</v>
      </c>
    </row>
    <row r="788" spans="1:6" x14ac:dyDescent="0.25">
      <c r="A788" s="2" t="s">
        <v>797</v>
      </c>
      <c r="B788" s="2" t="s">
        <v>368</v>
      </c>
      <c r="C788" s="2"/>
      <c r="D788" s="6"/>
      <c r="E788" s="3"/>
      <c r="F788" s="3">
        <v>0</v>
      </c>
    </row>
    <row r="789" spans="1:6" x14ac:dyDescent="0.25">
      <c r="A789" s="2" t="s">
        <v>798</v>
      </c>
      <c r="B789" s="2" t="s">
        <v>369</v>
      </c>
      <c r="C789" s="2"/>
      <c r="D789" s="6"/>
      <c r="E789" s="3"/>
      <c r="F789" s="3">
        <v>0</v>
      </c>
    </row>
    <row r="790" spans="1:6" x14ac:dyDescent="0.25">
      <c r="A790" s="4" t="s">
        <v>798</v>
      </c>
      <c r="B790" s="4" t="s">
        <v>170</v>
      </c>
      <c r="C790" s="4"/>
      <c r="D790" s="7">
        <v>45295</v>
      </c>
      <c r="E790" s="5">
        <v>-25000</v>
      </c>
      <c r="F790" s="5">
        <f>ROUND(F789+E790,5)</f>
        <v>-25000</v>
      </c>
    </row>
    <row r="791" spans="1:6" x14ac:dyDescent="0.25">
      <c r="A791" s="4" t="s">
        <v>798</v>
      </c>
      <c r="B791" s="4" t="s">
        <v>171</v>
      </c>
      <c r="C791" s="4"/>
      <c r="D791" s="7">
        <v>45306</v>
      </c>
      <c r="E791" s="5">
        <v>425000</v>
      </c>
      <c r="F791" s="5">
        <f>ROUND(F790+E791,5)</f>
        <v>400000</v>
      </c>
    </row>
    <row r="792" spans="1:6" ht="15.75" thickBot="1" x14ac:dyDescent="0.3">
      <c r="A792" s="4" t="s">
        <v>798</v>
      </c>
      <c r="B792" s="4" t="s">
        <v>170</v>
      </c>
      <c r="C792" s="4"/>
      <c r="D792" s="7">
        <v>45339</v>
      </c>
      <c r="E792" s="8">
        <v>-400000</v>
      </c>
      <c r="F792" s="8">
        <f>ROUND(F791+E792,5)</f>
        <v>0</v>
      </c>
    </row>
    <row r="793" spans="1:6" x14ac:dyDescent="0.25">
      <c r="A793" s="2" t="s">
        <v>794</v>
      </c>
      <c r="B793" s="2" t="s">
        <v>370</v>
      </c>
      <c r="C793" s="2"/>
      <c r="D793" s="6"/>
      <c r="E793" s="3"/>
      <c r="F793" s="3">
        <v>0</v>
      </c>
    </row>
    <row r="794" spans="1:6" x14ac:dyDescent="0.25">
      <c r="A794" s="2" t="s">
        <v>795</v>
      </c>
      <c r="B794" s="2" t="s">
        <v>371</v>
      </c>
      <c r="C794" s="2"/>
      <c r="D794" s="6"/>
      <c r="E794" s="3"/>
      <c r="F794" s="3">
        <v>1375000</v>
      </c>
    </row>
    <row r="795" spans="1:6" ht="15.75" thickBot="1" x14ac:dyDescent="0.3">
      <c r="A795" s="1" t="s">
        <v>795</v>
      </c>
      <c r="B795" s="4" t="s">
        <v>170</v>
      </c>
      <c r="C795" s="4"/>
      <c r="D795" s="7">
        <v>45370</v>
      </c>
      <c r="E795" s="8">
        <v>-600000</v>
      </c>
      <c r="F795" s="8">
        <f>ROUND(F794+E795,5)</f>
        <v>775000</v>
      </c>
    </row>
    <row r="796" spans="1:6" x14ac:dyDescent="0.25">
      <c r="A796" s="2" t="s">
        <v>800</v>
      </c>
      <c r="B796" s="2" t="s">
        <v>372</v>
      </c>
      <c r="C796" s="2"/>
      <c r="D796" s="6"/>
      <c r="E796" s="3"/>
      <c r="F796" s="3">
        <v>400000</v>
      </c>
    </row>
    <row r="797" spans="1:6" x14ac:dyDescent="0.25">
      <c r="A797" s="2" t="s">
        <v>796</v>
      </c>
      <c r="B797" s="2" t="s">
        <v>373</v>
      </c>
      <c r="C797" s="2"/>
      <c r="D797" s="6"/>
      <c r="E797" s="3"/>
      <c r="F797" s="3">
        <v>0</v>
      </c>
    </row>
    <row r="798" spans="1:6" x14ac:dyDescent="0.25">
      <c r="A798" s="4" t="s">
        <v>796</v>
      </c>
      <c r="B798" s="4" t="s">
        <v>171</v>
      </c>
      <c r="C798" s="4"/>
      <c r="D798" s="7">
        <v>45306</v>
      </c>
      <c r="E798" s="5">
        <v>300000</v>
      </c>
      <c r="F798" s="5">
        <f>ROUND(F797+E798,5)</f>
        <v>300000</v>
      </c>
    </row>
    <row r="799" spans="1:6" ht="15.75" thickBot="1" x14ac:dyDescent="0.3">
      <c r="A799" s="4" t="s">
        <v>796</v>
      </c>
      <c r="B799" s="4" t="s">
        <v>170</v>
      </c>
      <c r="C799" s="4"/>
      <c r="D799" s="7">
        <v>45371</v>
      </c>
      <c r="E799" s="8">
        <v>-150000</v>
      </c>
      <c r="F799" s="8">
        <f>ROUND(F798+E799,5)</f>
        <v>150000</v>
      </c>
    </row>
    <row r="800" spans="1:6" x14ac:dyDescent="0.25">
      <c r="A800" s="2" t="s">
        <v>799</v>
      </c>
      <c r="B800" s="2" t="s">
        <v>374</v>
      </c>
      <c r="C800" s="2"/>
      <c r="D800" s="6"/>
      <c r="E800" s="3"/>
      <c r="F800" s="3">
        <v>170000</v>
      </c>
    </row>
    <row r="801" spans="1:6" x14ac:dyDescent="0.25">
      <c r="A801" s="4" t="s">
        <v>799</v>
      </c>
      <c r="B801" s="4" t="s">
        <v>170</v>
      </c>
      <c r="C801" s="4"/>
      <c r="D801" s="7">
        <v>45364</v>
      </c>
      <c r="E801" s="5">
        <v>-165000</v>
      </c>
      <c r="F801" s="5">
        <f>ROUND(F800+E801,5)</f>
        <v>5000</v>
      </c>
    </row>
    <row r="802" spans="1:6" ht="15.75" thickBot="1" x14ac:dyDescent="0.3">
      <c r="A802" s="4" t="s">
        <v>799</v>
      </c>
      <c r="B802" s="4" t="s">
        <v>170</v>
      </c>
      <c r="C802" s="4"/>
      <c r="D802" s="7">
        <v>45376</v>
      </c>
      <c r="E802" s="8">
        <v>-5000</v>
      </c>
      <c r="F802" s="8">
        <f>ROUND(F801+E802,5)</f>
        <v>0</v>
      </c>
    </row>
    <row r="803" spans="1:6" x14ac:dyDescent="0.25">
      <c r="A803" s="2" t="s">
        <v>801</v>
      </c>
      <c r="B803" s="2" t="s">
        <v>375</v>
      </c>
      <c r="C803" s="2"/>
      <c r="D803" s="6"/>
      <c r="E803" s="3"/>
      <c r="F803" s="3">
        <v>250000</v>
      </c>
    </row>
    <row r="804" spans="1:6" ht="15.75" thickBot="1" x14ac:dyDescent="0.3">
      <c r="A804" s="1" t="s">
        <v>801</v>
      </c>
      <c r="B804" s="4" t="s">
        <v>170</v>
      </c>
      <c r="C804" s="4"/>
      <c r="D804" s="7">
        <v>45372</v>
      </c>
      <c r="E804" s="8">
        <v>-250000</v>
      </c>
      <c r="F804" s="8">
        <f>ROUND(F803+E804,5)</f>
        <v>0</v>
      </c>
    </row>
    <row r="805" spans="1:6" x14ac:dyDescent="0.25">
      <c r="A805" s="2" t="s">
        <v>802</v>
      </c>
      <c r="B805" s="2" t="s">
        <v>376</v>
      </c>
      <c r="C805" s="2"/>
      <c r="D805" s="6"/>
      <c r="E805" s="3"/>
      <c r="F805" s="3">
        <v>895000</v>
      </c>
    </row>
    <row r="806" spans="1:6" x14ac:dyDescent="0.25">
      <c r="A806" s="2" t="s">
        <v>803</v>
      </c>
      <c r="B806" s="2" t="s">
        <v>377</v>
      </c>
      <c r="C806" s="2"/>
      <c r="D806" s="6"/>
      <c r="E806" s="3"/>
      <c r="F806" s="3">
        <v>400000</v>
      </c>
    </row>
    <row r="807" spans="1:6" x14ac:dyDescent="0.25">
      <c r="A807" s="4" t="s">
        <v>803</v>
      </c>
      <c r="B807" s="4" t="s">
        <v>171</v>
      </c>
      <c r="C807" s="4"/>
      <c r="D807" s="7">
        <v>45322</v>
      </c>
      <c r="E807" s="5">
        <v>400000</v>
      </c>
      <c r="F807" s="5">
        <f>ROUND(F806+E807,5)</f>
        <v>800000</v>
      </c>
    </row>
    <row r="808" spans="1:6" ht="15.75" thickBot="1" x14ac:dyDescent="0.3">
      <c r="A808" s="4" t="s">
        <v>803</v>
      </c>
      <c r="B808" s="4" t="s">
        <v>170</v>
      </c>
      <c r="C808" s="4"/>
      <c r="D808" s="7">
        <v>45355</v>
      </c>
      <c r="E808" s="8">
        <v>-525000</v>
      </c>
      <c r="F808" s="8">
        <f>ROUND(F807+E808,5)</f>
        <v>275000</v>
      </c>
    </row>
    <row r="809" spans="1:6" x14ac:dyDescent="0.25">
      <c r="A809" s="2" t="s">
        <v>809</v>
      </c>
      <c r="B809" s="2" t="s">
        <v>378</v>
      </c>
      <c r="C809" s="2"/>
      <c r="D809" s="6"/>
      <c r="E809" s="3"/>
      <c r="F809" s="3">
        <v>0</v>
      </c>
    </row>
    <row r="810" spans="1:6" x14ac:dyDescent="0.25">
      <c r="A810" s="4" t="s">
        <v>809</v>
      </c>
      <c r="B810" s="4" t="s">
        <v>171</v>
      </c>
      <c r="C810" s="4"/>
      <c r="D810" s="7">
        <v>45306</v>
      </c>
      <c r="E810" s="5">
        <v>425000</v>
      </c>
      <c r="F810" s="5">
        <f>ROUND(F809+E810,5)</f>
        <v>425000</v>
      </c>
    </row>
    <row r="811" spans="1:6" x14ac:dyDescent="0.25">
      <c r="A811" s="4" t="s">
        <v>809</v>
      </c>
      <c r="B811" s="4" t="s">
        <v>170</v>
      </c>
      <c r="C811" s="4"/>
      <c r="D811" s="7">
        <v>45309</v>
      </c>
      <c r="E811" s="5">
        <v>-25000</v>
      </c>
      <c r="F811" s="5">
        <f>ROUND(F810+E811,5)</f>
        <v>400000</v>
      </c>
    </row>
    <row r="812" spans="1:6" x14ac:dyDescent="0.25">
      <c r="A812" s="4" t="s">
        <v>809</v>
      </c>
      <c r="B812" s="4" t="s">
        <v>170</v>
      </c>
      <c r="C812" s="4"/>
      <c r="D812" s="7">
        <v>45334</v>
      </c>
      <c r="E812" s="5">
        <v>-70000</v>
      </c>
      <c r="F812" s="5">
        <f>ROUND(F811+E812,5)</f>
        <v>330000</v>
      </c>
    </row>
    <row r="813" spans="1:6" x14ac:dyDescent="0.25">
      <c r="A813" s="4" t="s">
        <v>809</v>
      </c>
      <c r="B813" s="4" t="s">
        <v>170</v>
      </c>
      <c r="C813" s="4"/>
      <c r="D813" s="7">
        <v>45337</v>
      </c>
      <c r="E813" s="5">
        <v>-30000</v>
      </c>
      <c r="F813" s="5">
        <f>ROUND(F812+E813,5)</f>
        <v>300000</v>
      </c>
    </row>
    <row r="814" spans="1:6" ht="15.75" thickBot="1" x14ac:dyDescent="0.3">
      <c r="A814" s="4" t="s">
        <v>809</v>
      </c>
      <c r="B814" s="4" t="s">
        <v>170</v>
      </c>
      <c r="C814" s="4"/>
      <c r="D814" s="7">
        <v>45404</v>
      </c>
      <c r="E814" s="8">
        <v>-75000</v>
      </c>
      <c r="F814" s="8">
        <f>ROUND(F813+E814,5)</f>
        <v>225000</v>
      </c>
    </row>
    <row r="815" spans="1:6" x14ac:dyDescent="0.25">
      <c r="A815" s="2" t="s">
        <v>804</v>
      </c>
      <c r="B815" s="2" t="s">
        <v>379</v>
      </c>
      <c r="C815" s="2"/>
      <c r="D815" s="6"/>
      <c r="E815" s="3"/>
      <c r="F815" s="3">
        <v>-1087</v>
      </c>
    </row>
    <row r="816" spans="1:6" x14ac:dyDescent="0.25">
      <c r="A816" s="2" t="s">
        <v>805</v>
      </c>
      <c r="B816" s="2" t="s">
        <v>380</v>
      </c>
      <c r="C816" s="2"/>
      <c r="D816" s="6"/>
      <c r="E816" s="3"/>
      <c r="F816" s="3">
        <v>500000</v>
      </c>
    </row>
    <row r="817" spans="1:6" x14ac:dyDescent="0.25">
      <c r="A817" s="2" t="s">
        <v>806</v>
      </c>
      <c r="B817" s="2" t="s">
        <v>381</v>
      </c>
      <c r="C817" s="2"/>
      <c r="D817" s="6"/>
      <c r="E817" s="3"/>
      <c r="F817" s="3">
        <v>800000</v>
      </c>
    </row>
    <row r="818" spans="1:6" x14ac:dyDescent="0.25">
      <c r="A818" s="2" t="s">
        <v>807</v>
      </c>
      <c r="B818" s="2" t="s">
        <v>382</v>
      </c>
      <c r="C818" s="2"/>
      <c r="D818" s="6"/>
      <c r="E818" s="3"/>
      <c r="F818" s="3">
        <v>991800</v>
      </c>
    </row>
    <row r="819" spans="1:6" x14ac:dyDescent="0.25">
      <c r="A819" s="2" t="s">
        <v>808</v>
      </c>
      <c r="B819" s="2" t="s">
        <v>383</v>
      </c>
      <c r="C819" s="2"/>
      <c r="D819" s="6"/>
      <c r="E819" s="3"/>
      <c r="F819" s="3">
        <v>99010</v>
      </c>
    </row>
    <row r="820" spans="1:6" x14ac:dyDescent="0.25">
      <c r="A820" s="2" t="s">
        <v>810</v>
      </c>
      <c r="B820" s="2" t="s">
        <v>384</v>
      </c>
      <c r="C820" s="2"/>
      <c r="D820" s="6"/>
      <c r="E820" s="3"/>
      <c r="F820" s="3">
        <v>0</v>
      </c>
    </row>
    <row r="821" spans="1:6" x14ac:dyDescent="0.25">
      <c r="A821" s="4" t="s">
        <v>810</v>
      </c>
      <c r="B821" s="4" t="s">
        <v>171</v>
      </c>
      <c r="C821" s="4"/>
      <c r="D821" s="7">
        <v>45306</v>
      </c>
      <c r="E821" s="5">
        <v>300000</v>
      </c>
      <c r="F821" s="5">
        <f>ROUND(F820+E821,5)</f>
        <v>300000</v>
      </c>
    </row>
    <row r="822" spans="1:6" ht="15.75" thickBot="1" x14ac:dyDescent="0.3">
      <c r="A822" s="4" t="s">
        <v>810</v>
      </c>
      <c r="B822" s="4" t="s">
        <v>170</v>
      </c>
      <c r="C822" s="4"/>
      <c r="D822" s="7">
        <v>45439</v>
      </c>
      <c r="E822" s="8">
        <v>-300000</v>
      </c>
      <c r="F822" s="8">
        <f>ROUND(F821+E822,5)</f>
        <v>0</v>
      </c>
    </row>
    <row r="823" spans="1:6" x14ac:dyDescent="0.25">
      <c r="A823" s="2" t="s">
        <v>815</v>
      </c>
      <c r="B823" s="2" t="s">
        <v>385</v>
      </c>
      <c r="C823" s="2"/>
      <c r="D823" s="6"/>
      <c r="E823" s="3"/>
      <c r="F823" s="3">
        <v>-400000</v>
      </c>
    </row>
    <row r="824" spans="1:6" x14ac:dyDescent="0.25">
      <c r="A824" s="4" t="s">
        <v>815</v>
      </c>
      <c r="B824" s="4" t="s">
        <v>171</v>
      </c>
      <c r="C824" s="4"/>
      <c r="D824" s="7">
        <v>45322</v>
      </c>
      <c r="E824" s="5">
        <v>400000</v>
      </c>
      <c r="F824" s="5">
        <f>ROUND(F823+E824,5)</f>
        <v>0</v>
      </c>
    </row>
    <row r="825" spans="1:6" ht="15.75" thickBot="1" x14ac:dyDescent="0.3">
      <c r="A825" s="4" t="s">
        <v>815</v>
      </c>
      <c r="B825" s="4" t="s">
        <v>170</v>
      </c>
      <c r="C825" s="4"/>
      <c r="D825" s="7">
        <v>45355</v>
      </c>
      <c r="E825" s="8">
        <v>-100000</v>
      </c>
      <c r="F825" s="8">
        <f>ROUND(F824+E825,5)</f>
        <v>-100000</v>
      </c>
    </row>
    <row r="826" spans="1:6" x14ac:dyDescent="0.25">
      <c r="A826" s="2" t="s">
        <v>811</v>
      </c>
      <c r="B826" s="2" t="s">
        <v>386</v>
      </c>
      <c r="C826" s="2"/>
      <c r="D826" s="6"/>
      <c r="E826" s="3"/>
      <c r="F826" s="3">
        <v>215000</v>
      </c>
    </row>
    <row r="827" spans="1:6" ht="15.75" thickBot="1" x14ac:dyDescent="0.3">
      <c r="A827" s="1" t="s">
        <v>811</v>
      </c>
      <c r="B827" s="4" t="s">
        <v>170</v>
      </c>
      <c r="C827" s="4"/>
      <c r="D827" s="7">
        <v>45304</v>
      </c>
      <c r="E827" s="8">
        <v>-80000</v>
      </c>
      <c r="F827" s="8">
        <f>ROUND(F826+E827,5)</f>
        <v>135000</v>
      </c>
    </row>
    <row r="828" spans="1:6" x14ac:dyDescent="0.25">
      <c r="A828" s="2" t="s">
        <v>812</v>
      </c>
      <c r="B828" s="2" t="s">
        <v>387</v>
      </c>
      <c r="C828" s="2"/>
      <c r="D828" s="6"/>
      <c r="E828" s="3"/>
      <c r="F828" s="3">
        <v>800000</v>
      </c>
    </row>
    <row r="829" spans="1:6" x14ac:dyDescent="0.25">
      <c r="A829" s="2" t="s">
        <v>643</v>
      </c>
      <c r="B829" s="2" t="s">
        <v>388</v>
      </c>
      <c r="C829" s="2"/>
      <c r="D829" s="6"/>
      <c r="E829" s="3"/>
      <c r="F829" s="3">
        <v>800000</v>
      </c>
    </row>
    <row r="830" spans="1:6" x14ac:dyDescent="0.25">
      <c r="A830" s="2" t="s">
        <v>813</v>
      </c>
      <c r="B830" s="2" t="s">
        <v>389</v>
      </c>
      <c r="C830" s="2"/>
      <c r="D830" s="6"/>
      <c r="E830" s="3"/>
      <c r="F830" s="3">
        <v>0</v>
      </c>
    </row>
    <row r="831" spans="1:6" ht="15.75" thickBot="1" x14ac:dyDescent="0.3">
      <c r="A831" s="1" t="s">
        <v>813</v>
      </c>
      <c r="B831" s="4" t="s">
        <v>171</v>
      </c>
      <c r="C831" s="4"/>
      <c r="D831" s="7">
        <v>45322</v>
      </c>
      <c r="E831" s="8">
        <v>504000</v>
      </c>
      <c r="F831" s="8">
        <f>ROUND(F830+E831,5)</f>
        <v>504000</v>
      </c>
    </row>
    <row r="832" spans="1:6" x14ac:dyDescent="0.25">
      <c r="A832" s="2" t="s">
        <v>674</v>
      </c>
      <c r="B832" s="2" t="s">
        <v>390</v>
      </c>
      <c r="C832" s="2"/>
      <c r="D832" s="6"/>
      <c r="E832" s="3"/>
      <c r="F832" s="3">
        <v>800000</v>
      </c>
    </row>
    <row r="833" spans="1:6" x14ac:dyDescent="0.25">
      <c r="A833" s="2" t="s">
        <v>816</v>
      </c>
      <c r="B833" s="2" t="s">
        <v>391</v>
      </c>
      <c r="C833" s="2"/>
      <c r="D833" s="6"/>
      <c r="E833" s="3"/>
      <c r="F833" s="3">
        <v>265000</v>
      </c>
    </row>
    <row r="834" spans="1:6" x14ac:dyDescent="0.25">
      <c r="A834" s="2" t="s">
        <v>814</v>
      </c>
      <c r="B834" s="2" t="s">
        <v>392</v>
      </c>
      <c r="C834" s="2"/>
      <c r="D834" s="6"/>
      <c r="E834" s="3"/>
      <c r="F834" s="3">
        <v>1373000</v>
      </c>
    </row>
    <row r="835" spans="1:6" x14ac:dyDescent="0.25">
      <c r="A835" s="2" t="s">
        <v>817</v>
      </c>
      <c r="B835" s="2" t="s">
        <v>393</v>
      </c>
      <c r="C835" s="2"/>
      <c r="D835" s="6"/>
      <c r="E835" s="3"/>
      <c r="F835" s="3">
        <v>0</v>
      </c>
    </row>
    <row r="836" spans="1:6" x14ac:dyDescent="0.25">
      <c r="A836" s="2" t="s">
        <v>818</v>
      </c>
      <c r="B836" s="2" t="s">
        <v>394</v>
      </c>
      <c r="C836" s="2"/>
      <c r="D836" s="6"/>
      <c r="E836" s="3"/>
      <c r="F836" s="3">
        <v>0</v>
      </c>
    </row>
    <row r="837" spans="1:6" x14ac:dyDescent="0.25">
      <c r="A837" s="4" t="s">
        <v>818</v>
      </c>
      <c r="B837" s="4" t="s">
        <v>171</v>
      </c>
      <c r="C837" s="4"/>
      <c r="D837" s="7">
        <v>45306</v>
      </c>
      <c r="E837" s="5">
        <v>425000</v>
      </c>
      <c r="F837" s="5">
        <f>ROUND(F836+E837,5)</f>
        <v>425000</v>
      </c>
    </row>
    <row r="838" spans="1:6" x14ac:dyDescent="0.25">
      <c r="A838" s="4" t="s">
        <v>818</v>
      </c>
      <c r="B838" s="4" t="s">
        <v>170</v>
      </c>
      <c r="C838" s="4"/>
      <c r="D838" s="7">
        <v>45370</v>
      </c>
      <c r="E838" s="5">
        <v>-300000</v>
      </c>
      <c r="F838" s="5">
        <f>ROUND(F837+E838,5)</f>
        <v>125000</v>
      </c>
    </row>
    <row r="839" spans="1:6" ht="15.75" thickBot="1" x14ac:dyDescent="0.3">
      <c r="A839" s="4" t="s">
        <v>818</v>
      </c>
      <c r="B839" s="4" t="s">
        <v>170</v>
      </c>
      <c r="C839" s="4"/>
      <c r="D839" s="7">
        <v>45391</v>
      </c>
      <c r="E839" s="8">
        <v>-100000</v>
      </c>
      <c r="F839" s="8">
        <f>ROUND(F838+E839,5)</f>
        <v>25000</v>
      </c>
    </row>
    <row r="840" spans="1:6" x14ac:dyDescent="0.25">
      <c r="A840" s="2" t="s">
        <v>819</v>
      </c>
      <c r="B840" s="2" t="s">
        <v>395</v>
      </c>
      <c r="C840" s="2"/>
      <c r="D840" s="6"/>
      <c r="E840" s="3"/>
      <c r="F840" s="3">
        <v>0</v>
      </c>
    </row>
    <row r="841" spans="1:6" x14ac:dyDescent="0.25">
      <c r="A841" s="4" t="s">
        <v>819</v>
      </c>
      <c r="B841" s="4" t="s">
        <v>171</v>
      </c>
      <c r="C841" s="4"/>
      <c r="D841" s="7">
        <v>45306</v>
      </c>
      <c r="E841" s="5">
        <v>425000</v>
      </c>
      <c r="F841" s="5">
        <f>ROUND(F840+E841,5)</f>
        <v>425000</v>
      </c>
    </row>
    <row r="842" spans="1:6" x14ac:dyDescent="0.25">
      <c r="A842" s="4" t="s">
        <v>819</v>
      </c>
      <c r="B842" s="4" t="s">
        <v>173</v>
      </c>
      <c r="C842" s="4"/>
      <c r="D842" s="7">
        <v>45343</v>
      </c>
      <c r="E842" s="5">
        <v>-65000</v>
      </c>
      <c r="F842" s="5">
        <f>ROUND(F841+E842,5)</f>
        <v>360000</v>
      </c>
    </row>
    <row r="843" spans="1:6" ht="15.75" thickBot="1" x14ac:dyDescent="0.3">
      <c r="A843" s="4" t="s">
        <v>819</v>
      </c>
      <c r="B843" s="4" t="s">
        <v>170</v>
      </c>
      <c r="C843" s="4"/>
      <c r="D843" s="7">
        <v>45435</v>
      </c>
      <c r="E843" s="8">
        <v>-130000</v>
      </c>
      <c r="F843" s="8">
        <f>ROUND(F842+E843,5)</f>
        <v>230000</v>
      </c>
    </row>
    <row r="844" spans="1:6" x14ac:dyDescent="0.25">
      <c r="A844" s="2" t="s">
        <v>820</v>
      </c>
      <c r="B844" s="2" t="s">
        <v>396</v>
      </c>
      <c r="C844" s="2"/>
      <c r="D844" s="6"/>
      <c r="E844" s="3"/>
      <c r="F844" s="3">
        <v>240000</v>
      </c>
    </row>
    <row r="845" spans="1:6" x14ac:dyDescent="0.25">
      <c r="A845" s="2" t="s">
        <v>821</v>
      </c>
      <c r="B845" s="2" t="s">
        <v>397</v>
      </c>
      <c r="C845" s="2"/>
      <c r="D845" s="6"/>
      <c r="E845" s="3"/>
      <c r="F845" s="3">
        <v>0</v>
      </c>
    </row>
    <row r="846" spans="1:6" x14ac:dyDescent="0.25">
      <c r="A846" s="2" t="s">
        <v>822</v>
      </c>
      <c r="B846" s="2" t="s">
        <v>398</v>
      </c>
      <c r="C846" s="2"/>
      <c r="D846" s="6"/>
      <c r="E846" s="3"/>
      <c r="F846" s="3">
        <v>440000</v>
      </c>
    </row>
    <row r="847" spans="1:6" x14ac:dyDescent="0.25">
      <c r="A847" s="2" t="s">
        <v>654</v>
      </c>
      <c r="B847" s="2" t="s">
        <v>399</v>
      </c>
      <c r="C847" s="2"/>
      <c r="D847" s="6"/>
      <c r="E847" s="3"/>
      <c r="F847" s="3">
        <v>-55000</v>
      </c>
    </row>
    <row r="848" spans="1:6" x14ac:dyDescent="0.25">
      <c r="A848" s="2" t="s">
        <v>823</v>
      </c>
      <c r="B848" s="2" t="s">
        <v>400</v>
      </c>
      <c r="C848" s="2"/>
      <c r="D848" s="6"/>
      <c r="E848" s="3"/>
      <c r="F848" s="3">
        <v>0</v>
      </c>
    </row>
    <row r="849" spans="1:6" x14ac:dyDescent="0.25">
      <c r="A849" s="4" t="s">
        <v>823</v>
      </c>
      <c r="B849" s="4" t="s">
        <v>170</v>
      </c>
      <c r="C849" s="4"/>
      <c r="D849" s="7">
        <v>45303</v>
      </c>
      <c r="E849" s="5">
        <v>-25000</v>
      </c>
      <c r="F849" s="5">
        <f>ROUND(F848+E849,5)</f>
        <v>-25000</v>
      </c>
    </row>
    <row r="850" spans="1:6" x14ac:dyDescent="0.25">
      <c r="A850" s="4" t="s">
        <v>823</v>
      </c>
      <c r="B850" s="4" t="s">
        <v>171</v>
      </c>
      <c r="C850" s="4"/>
      <c r="D850" s="7">
        <v>45306</v>
      </c>
      <c r="E850" s="5">
        <v>425000</v>
      </c>
      <c r="F850" s="5">
        <f>ROUND(F849+E850,5)</f>
        <v>400000</v>
      </c>
    </row>
    <row r="851" spans="1:6" ht="15.75" thickBot="1" x14ac:dyDescent="0.3">
      <c r="A851" s="4" t="s">
        <v>823</v>
      </c>
      <c r="B851" s="4" t="s">
        <v>170</v>
      </c>
      <c r="C851" s="4"/>
      <c r="D851" s="7">
        <v>45338</v>
      </c>
      <c r="E851" s="8">
        <v>-200000</v>
      </c>
      <c r="F851" s="8">
        <f>ROUND(F850+E851,5)</f>
        <v>200000</v>
      </c>
    </row>
    <row r="852" spans="1:6" x14ac:dyDescent="0.25">
      <c r="A852" s="2" t="s">
        <v>824</v>
      </c>
      <c r="B852" s="2" t="s">
        <v>401</v>
      </c>
      <c r="C852" s="2"/>
      <c r="D852" s="6"/>
      <c r="E852" s="3"/>
      <c r="F852" s="3">
        <v>200000</v>
      </c>
    </row>
    <row r="853" spans="1:6" ht="15.75" thickBot="1" x14ac:dyDescent="0.3">
      <c r="A853" s="1" t="s">
        <v>824</v>
      </c>
      <c r="B853" s="4" t="s">
        <v>171</v>
      </c>
      <c r="C853" s="4"/>
      <c r="D853" s="7">
        <v>45322</v>
      </c>
      <c r="E853" s="8">
        <v>0</v>
      </c>
      <c r="F853" s="8">
        <f>ROUND(F852+E853,5)</f>
        <v>200000</v>
      </c>
    </row>
    <row r="854" spans="1:6" x14ac:dyDescent="0.25">
      <c r="A854" s="2" t="s">
        <v>825</v>
      </c>
      <c r="B854" s="2" t="s">
        <v>402</v>
      </c>
      <c r="C854" s="2"/>
      <c r="D854" s="6"/>
      <c r="E854" s="3"/>
      <c r="F854" s="3">
        <v>0</v>
      </c>
    </row>
    <row r="855" spans="1:6" x14ac:dyDescent="0.25">
      <c r="A855" s="2" t="s">
        <v>826</v>
      </c>
      <c r="B855" s="2" t="s">
        <v>403</v>
      </c>
      <c r="C855" s="2"/>
      <c r="D855" s="6"/>
      <c r="E855" s="3"/>
      <c r="F855" s="3">
        <v>0</v>
      </c>
    </row>
    <row r="856" spans="1:6" x14ac:dyDescent="0.25">
      <c r="A856" s="4" t="s">
        <v>826</v>
      </c>
      <c r="B856" s="4" t="s">
        <v>171</v>
      </c>
      <c r="C856" s="4"/>
      <c r="D856" s="7">
        <v>45306</v>
      </c>
      <c r="E856" s="5">
        <v>425000</v>
      </c>
      <c r="F856" s="5">
        <f>ROUND(F855+E856,5)</f>
        <v>425000</v>
      </c>
    </row>
    <row r="857" spans="1:6" ht="15.75" thickBot="1" x14ac:dyDescent="0.3">
      <c r="A857" s="4" t="s">
        <v>826</v>
      </c>
      <c r="B857" s="4" t="s">
        <v>173</v>
      </c>
      <c r="C857" s="4"/>
      <c r="D857" s="7">
        <v>45383</v>
      </c>
      <c r="E857" s="8">
        <v>-400000</v>
      </c>
      <c r="F857" s="8">
        <f>ROUND(F856+E857,5)</f>
        <v>25000</v>
      </c>
    </row>
    <row r="858" spans="1:6" x14ac:dyDescent="0.25">
      <c r="A858" s="2" t="s">
        <v>827</v>
      </c>
      <c r="B858" s="2" t="s">
        <v>404</v>
      </c>
      <c r="C858" s="2"/>
      <c r="D858" s="6"/>
      <c r="E858" s="3"/>
      <c r="F858" s="3">
        <v>0</v>
      </c>
    </row>
    <row r="859" spans="1:6" x14ac:dyDescent="0.25">
      <c r="A859" s="4" t="s">
        <v>827</v>
      </c>
      <c r="B859" s="4" t="s">
        <v>171</v>
      </c>
      <c r="C859" s="4"/>
      <c r="D859" s="7">
        <v>45306</v>
      </c>
      <c r="E859" s="5">
        <v>400000</v>
      </c>
      <c r="F859" s="5">
        <f>ROUND(F858+E859,5)</f>
        <v>400000</v>
      </c>
    </row>
    <row r="860" spans="1:6" x14ac:dyDescent="0.25">
      <c r="A860" s="4" t="s">
        <v>827</v>
      </c>
      <c r="B860" s="4" t="s">
        <v>170</v>
      </c>
      <c r="C860" s="4"/>
      <c r="D860" s="7">
        <v>45338</v>
      </c>
      <c r="E860" s="5">
        <v>-200000</v>
      </c>
      <c r="F860" s="5">
        <f>ROUND(F859+E860,5)</f>
        <v>200000</v>
      </c>
    </row>
    <row r="861" spans="1:6" ht="15.75" thickBot="1" x14ac:dyDescent="0.3">
      <c r="A861" s="4" t="s">
        <v>827</v>
      </c>
      <c r="B861" s="4" t="s">
        <v>170</v>
      </c>
      <c r="C861" s="4"/>
      <c r="D861" s="7">
        <v>45439</v>
      </c>
      <c r="E861" s="8">
        <v>-200000</v>
      </c>
      <c r="F861" s="8">
        <f>ROUND(F860+E861,5)</f>
        <v>0</v>
      </c>
    </row>
    <row r="862" spans="1:6" x14ac:dyDescent="0.25">
      <c r="A862" s="2" t="s">
        <v>828</v>
      </c>
      <c r="B862" s="2" t="s">
        <v>405</v>
      </c>
      <c r="C862" s="2"/>
      <c r="D862" s="6"/>
      <c r="E862" s="3"/>
      <c r="F862" s="3">
        <v>-300000</v>
      </c>
    </row>
    <row r="863" spans="1:6" ht="15.75" thickBot="1" x14ac:dyDescent="0.3">
      <c r="A863" s="1" t="s">
        <v>828</v>
      </c>
      <c r="B863" s="4" t="s">
        <v>171</v>
      </c>
      <c r="C863" s="4"/>
      <c r="D863" s="7">
        <v>45322</v>
      </c>
      <c r="E863" s="8">
        <v>300000</v>
      </c>
      <c r="F863" s="8">
        <f>ROUND(F862+E863,5)</f>
        <v>0</v>
      </c>
    </row>
    <row r="864" spans="1:6" x14ac:dyDescent="0.25">
      <c r="A864" s="2" t="s">
        <v>629</v>
      </c>
      <c r="B864" s="2" t="s">
        <v>406</v>
      </c>
      <c r="C864" s="2"/>
      <c r="D864" s="6"/>
      <c r="E864" s="3"/>
      <c r="F864" s="3">
        <v>666000</v>
      </c>
    </row>
    <row r="865" spans="1:6" x14ac:dyDescent="0.25">
      <c r="A865" s="2" t="s">
        <v>829</v>
      </c>
      <c r="B865" s="2" t="s">
        <v>407</v>
      </c>
      <c r="C865" s="2"/>
      <c r="D865" s="6"/>
      <c r="E865" s="3"/>
      <c r="F865" s="3">
        <v>0</v>
      </c>
    </row>
    <row r="866" spans="1:6" x14ac:dyDescent="0.25">
      <c r="A866" s="4" t="s">
        <v>829</v>
      </c>
      <c r="B866" s="4" t="s">
        <v>171</v>
      </c>
      <c r="C866" s="4"/>
      <c r="D866" s="7">
        <v>45306</v>
      </c>
      <c r="E866" s="5">
        <v>425000</v>
      </c>
      <c r="F866" s="5">
        <f>ROUND(F865+E866,5)</f>
        <v>425000</v>
      </c>
    </row>
    <row r="867" spans="1:6" ht="15.75" thickBot="1" x14ac:dyDescent="0.3">
      <c r="A867" s="4" t="s">
        <v>829</v>
      </c>
      <c r="B867" s="4" t="s">
        <v>170</v>
      </c>
      <c r="C867" s="4"/>
      <c r="D867" s="7">
        <v>45433</v>
      </c>
      <c r="E867" s="8">
        <v>-200000</v>
      </c>
      <c r="F867" s="8">
        <f>ROUND(F866+E867,5)</f>
        <v>225000</v>
      </c>
    </row>
    <row r="868" spans="1:6" x14ac:dyDescent="0.25">
      <c r="A868" s="2" t="s">
        <v>830</v>
      </c>
      <c r="B868" s="2" t="s">
        <v>408</v>
      </c>
      <c r="C868" s="2"/>
      <c r="D868" s="6"/>
      <c r="E868" s="3"/>
      <c r="F868" s="3">
        <v>250000</v>
      </c>
    </row>
    <row r="869" spans="1:6" ht="15.75" thickBot="1" x14ac:dyDescent="0.3">
      <c r="A869" s="1" t="s">
        <v>830</v>
      </c>
      <c r="B869" s="4" t="s">
        <v>170</v>
      </c>
      <c r="C869" s="4"/>
      <c r="D869" s="7">
        <v>45313</v>
      </c>
      <c r="E869" s="8">
        <v>-25000</v>
      </c>
      <c r="F869" s="8">
        <f>ROUND(F868+E869,5)</f>
        <v>225000</v>
      </c>
    </row>
    <row r="870" spans="1:6" x14ac:dyDescent="0.25">
      <c r="A870" s="2" t="s">
        <v>831</v>
      </c>
      <c r="B870" s="2" t="s">
        <v>409</v>
      </c>
      <c r="C870" s="2"/>
      <c r="D870" s="6"/>
      <c r="E870" s="3"/>
      <c r="F870" s="3">
        <v>120000</v>
      </c>
    </row>
    <row r="871" spans="1:6" x14ac:dyDescent="0.25">
      <c r="A871" s="2" t="s">
        <v>832</v>
      </c>
      <c r="B871" s="2" t="s">
        <v>410</v>
      </c>
      <c r="C871" s="2"/>
      <c r="D871" s="6"/>
      <c r="E871" s="3"/>
      <c r="F871" s="3">
        <v>420000</v>
      </c>
    </row>
    <row r="872" spans="1:6" x14ac:dyDescent="0.25">
      <c r="A872" s="2" t="s">
        <v>833</v>
      </c>
      <c r="B872" s="2" t="s">
        <v>411</v>
      </c>
      <c r="C872" s="2"/>
      <c r="D872" s="6"/>
      <c r="E872" s="3"/>
      <c r="F872" s="3">
        <v>0</v>
      </c>
    </row>
    <row r="873" spans="1:6" x14ac:dyDescent="0.25">
      <c r="A873" s="4" t="s">
        <v>833</v>
      </c>
      <c r="B873" s="4" t="s">
        <v>171</v>
      </c>
      <c r="C873" s="4"/>
      <c r="D873" s="7">
        <v>45306</v>
      </c>
      <c r="E873" s="5">
        <v>425000</v>
      </c>
      <c r="F873" s="5">
        <f>ROUND(F872+E873,5)</f>
        <v>425000</v>
      </c>
    </row>
    <row r="874" spans="1:6" x14ac:dyDescent="0.25">
      <c r="A874" s="4" t="s">
        <v>833</v>
      </c>
      <c r="B874" s="4" t="s">
        <v>170</v>
      </c>
      <c r="C874" s="4"/>
      <c r="D874" s="7">
        <v>45370</v>
      </c>
      <c r="E874" s="5">
        <v>-300000</v>
      </c>
      <c r="F874" s="5">
        <f>ROUND(F873+E874,5)</f>
        <v>125000</v>
      </c>
    </row>
    <row r="875" spans="1:6" ht="15.75" thickBot="1" x14ac:dyDescent="0.3">
      <c r="A875" s="4" t="s">
        <v>833</v>
      </c>
      <c r="B875" s="4" t="s">
        <v>170</v>
      </c>
      <c r="C875" s="4"/>
      <c r="D875" s="7">
        <v>45391</v>
      </c>
      <c r="E875" s="8">
        <v>-100000</v>
      </c>
      <c r="F875" s="8">
        <f>ROUND(F874+E875,5)</f>
        <v>25000</v>
      </c>
    </row>
    <row r="876" spans="1:6" x14ac:dyDescent="0.25">
      <c r="A876" s="2" t="s">
        <v>834</v>
      </c>
      <c r="B876" s="2" t="s">
        <v>412</v>
      </c>
      <c r="C876" s="2"/>
      <c r="D876" s="6"/>
      <c r="E876" s="3"/>
      <c r="F876" s="3">
        <v>300000</v>
      </c>
    </row>
    <row r="877" spans="1:6" ht="15.75" thickBot="1" x14ac:dyDescent="0.3">
      <c r="A877" s="1" t="s">
        <v>834</v>
      </c>
      <c r="B877" s="4" t="s">
        <v>171</v>
      </c>
      <c r="C877" s="4"/>
      <c r="D877" s="7">
        <v>45322</v>
      </c>
      <c r="E877" s="8">
        <v>400000</v>
      </c>
      <c r="F877" s="8">
        <f>ROUND(F876+E877,5)</f>
        <v>700000</v>
      </c>
    </row>
    <row r="878" spans="1:6" x14ac:dyDescent="0.25">
      <c r="A878" s="2" t="s">
        <v>835</v>
      </c>
      <c r="B878" s="2" t="s">
        <v>413</v>
      </c>
      <c r="C878" s="2"/>
      <c r="D878" s="6"/>
      <c r="E878" s="3"/>
      <c r="F878" s="3">
        <v>0</v>
      </c>
    </row>
    <row r="879" spans="1:6" x14ac:dyDescent="0.25">
      <c r="A879" s="4" t="s">
        <v>836</v>
      </c>
      <c r="B879" s="2" t="s">
        <v>414</v>
      </c>
      <c r="C879" s="2"/>
      <c r="D879" s="6"/>
      <c r="E879" s="3"/>
      <c r="F879" s="3">
        <v>0</v>
      </c>
    </row>
    <row r="880" spans="1:6" x14ac:dyDescent="0.25">
      <c r="A880" s="4" t="s">
        <v>836</v>
      </c>
      <c r="B880" s="4" t="s">
        <v>171</v>
      </c>
      <c r="C880" s="4"/>
      <c r="D880" s="7">
        <v>45306</v>
      </c>
      <c r="E880" s="5">
        <v>425000</v>
      </c>
      <c r="F880" s="5">
        <f>ROUND(F879+E880,5)</f>
        <v>425000</v>
      </c>
    </row>
    <row r="881" spans="1:6" x14ac:dyDescent="0.25">
      <c r="A881" s="4" t="s">
        <v>836</v>
      </c>
      <c r="B881" s="4" t="s">
        <v>170</v>
      </c>
      <c r="C881" s="4"/>
      <c r="D881" s="7">
        <v>45317</v>
      </c>
      <c r="E881" s="5">
        <v>-25000</v>
      </c>
      <c r="F881" s="5">
        <f>ROUND(F880+E881,5)</f>
        <v>400000</v>
      </c>
    </row>
    <row r="882" spans="1:6" x14ac:dyDescent="0.25">
      <c r="A882" s="4" t="s">
        <v>836</v>
      </c>
      <c r="B882" s="4" t="s">
        <v>170</v>
      </c>
      <c r="C882" s="4"/>
      <c r="D882" s="7">
        <v>45341</v>
      </c>
      <c r="E882" s="5">
        <v>-100000</v>
      </c>
      <c r="F882" s="5">
        <f>ROUND(F881+E882,5)</f>
        <v>300000</v>
      </c>
    </row>
    <row r="883" spans="1:6" ht="15.75" thickBot="1" x14ac:dyDescent="0.3">
      <c r="A883" s="4" t="s">
        <v>836</v>
      </c>
      <c r="B883" s="4" t="s">
        <v>170</v>
      </c>
      <c r="C883" s="4"/>
      <c r="D883" s="7">
        <v>45436</v>
      </c>
      <c r="E883" s="8">
        <v>-200000</v>
      </c>
      <c r="F883" s="8">
        <f>ROUND(F882+E883,5)</f>
        <v>100000</v>
      </c>
    </row>
    <row r="884" spans="1:6" x14ac:dyDescent="0.25">
      <c r="A884" s="2" t="s">
        <v>837</v>
      </c>
      <c r="B884" s="2" t="s">
        <v>415</v>
      </c>
      <c r="C884" s="2"/>
      <c r="D884" s="6"/>
      <c r="E884" s="3"/>
      <c r="F884" s="3">
        <v>65000</v>
      </c>
    </row>
    <row r="885" spans="1:6" ht="15.75" thickBot="1" x14ac:dyDescent="0.3">
      <c r="A885" s="1" t="s">
        <v>837</v>
      </c>
      <c r="B885" s="4" t="s">
        <v>170</v>
      </c>
      <c r="C885" s="4"/>
      <c r="D885" s="7">
        <v>45358</v>
      </c>
      <c r="E885" s="8">
        <v>-65000</v>
      </c>
      <c r="F885" s="8">
        <f>ROUND(F884+E885,5)</f>
        <v>0</v>
      </c>
    </row>
    <row r="886" spans="1:6" x14ac:dyDescent="0.25">
      <c r="A886" s="2" t="s">
        <v>838</v>
      </c>
      <c r="B886" s="2" t="s">
        <v>416</v>
      </c>
      <c r="C886" s="2"/>
      <c r="D886" s="6"/>
      <c r="E886" s="3"/>
      <c r="F886" s="3">
        <v>1400250</v>
      </c>
    </row>
    <row r="887" spans="1:6" x14ac:dyDescent="0.25">
      <c r="A887" s="2"/>
      <c r="B887" s="2" t="s">
        <v>417</v>
      </c>
      <c r="C887" s="2"/>
      <c r="D887" s="6"/>
      <c r="E887" s="3"/>
      <c r="F887" s="3">
        <v>0</v>
      </c>
    </row>
    <row r="888" spans="1:6" x14ac:dyDescent="0.25">
      <c r="A888" s="4"/>
      <c r="B888" s="4" t="s">
        <v>170</v>
      </c>
      <c r="C888" s="4"/>
      <c r="D888" s="7">
        <v>45317</v>
      </c>
      <c r="E888" s="5">
        <v>-65000</v>
      </c>
      <c r="F888" s="5">
        <f>ROUND(F887+E888,5)</f>
        <v>-65000</v>
      </c>
    </row>
    <row r="889" spans="1:6" ht="15.75" thickBot="1" x14ac:dyDescent="0.3">
      <c r="A889" s="4"/>
      <c r="B889" s="4" t="s">
        <v>171</v>
      </c>
      <c r="C889" s="4"/>
      <c r="D889" s="7">
        <v>45322</v>
      </c>
      <c r="E889" s="8">
        <v>65000</v>
      </c>
      <c r="F889" s="8">
        <f>ROUND(F888+E889,5)</f>
        <v>0</v>
      </c>
    </row>
    <row r="890" spans="1:6" x14ac:dyDescent="0.25">
      <c r="A890" s="4"/>
      <c r="B890" s="4" t="s">
        <v>418</v>
      </c>
      <c r="C890" s="4"/>
      <c r="D890" s="7"/>
      <c r="E890" s="5">
        <f>ROUND(SUM(E887:E889),5)</f>
        <v>0</v>
      </c>
      <c r="F890" s="5">
        <f>F889</f>
        <v>0</v>
      </c>
    </row>
    <row r="891" spans="1:6" x14ac:dyDescent="0.25">
      <c r="A891" s="2" t="s">
        <v>839</v>
      </c>
      <c r="B891" s="2" t="s">
        <v>419</v>
      </c>
      <c r="C891" s="2"/>
      <c r="D891" s="6"/>
      <c r="E891" s="3"/>
      <c r="F891" s="3">
        <v>65010</v>
      </c>
    </row>
    <row r="892" spans="1:6" x14ac:dyDescent="0.25">
      <c r="A892" s="2" t="s">
        <v>840</v>
      </c>
      <c r="B892" s="2" t="s">
        <v>420</v>
      </c>
      <c r="C892" s="2"/>
      <c r="D892" s="6"/>
      <c r="E892" s="3"/>
      <c r="F892" s="3">
        <v>0</v>
      </c>
    </row>
    <row r="893" spans="1:6" x14ac:dyDescent="0.25">
      <c r="A893" s="2" t="s">
        <v>841</v>
      </c>
      <c r="B893" s="2" t="s">
        <v>421</v>
      </c>
      <c r="C893" s="2"/>
      <c r="D893" s="6"/>
      <c r="E893" s="3"/>
      <c r="F893" s="3">
        <v>0</v>
      </c>
    </row>
    <row r="894" spans="1:6" x14ac:dyDescent="0.25">
      <c r="A894" s="4" t="s">
        <v>841</v>
      </c>
      <c r="B894" s="4" t="s">
        <v>171</v>
      </c>
      <c r="C894" s="4"/>
      <c r="D894" s="7">
        <v>45306</v>
      </c>
      <c r="E894" s="5">
        <v>425000</v>
      </c>
      <c r="F894" s="5">
        <f>ROUND(F893+E894,5)</f>
        <v>425000</v>
      </c>
    </row>
    <row r="895" spans="1:6" x14ac:dyDescent="0.25">
      <c r="A895" s="4" t="s">
        <v>841</v>
      </c>
      <c r="B895" s="4" t="s">
        <v>170</v>
      </c>
      <c r="C895" s="4"/>
      <c r="D895" s="7">
        <v>45316</v>
      </c>
      <c r="E895" s="5">
        <v>-25000</v>
      </c>
      <c r="F895" s="5">
        <f>ROUND(F894+E895,5)</f>
        <v>400000</v>
      </c>
    </row>
    <row r="896" spans="1:6" x14ac:dyDescent="0.25">
      <c r="A896" s="4" t="s">
        <v>841</v>
      </c>
      <c r="B896" s="4" t="s">
        <v>170</v>
      </c>
      <c r="C896" s="4"/>
      <c r="D896" s="7">
        <v>45370</v>
      </c>
      <c r="E896" s="5">
        <v>-300000</v>
      </c>
      <c r="F896" s="5">
        <f>ROUND(F895+E896,5)</f>
        <v>100000</v>
      </c>
    </row>
    <row r="897" spans="1:6" ht="15.75" thickBot="1" x14ac:dyDescent="0.3">
      <c r="A897" s="4" t="s">
        <v>841</v>
      </c>
      <c r="B897" s="4" t="s">
        <v>170</v>
      </c>
      <c r="C897" s="4"/>
      <c r="D897" s="7">
        <v>45391</v>
      </c>
      <c r="E897" s="8">
        <v>-100000</v>
      </c>
      <c r="F897" s="8">
        <f>ROUND(F896+E897,5)</f>
        <v>0</v>
      </c>
    </row>
    <row r="898" spans="1:6" x14ac:dyDescent="0.25">
      <c r="A898" s="2" t="s">
        <v>842</v>
      </c>
      <c r="B898" s="2" t="s">
        <v>422</v>
      </c>
      <c r="C898" s="2"/>
      <c r="D898" s="6"/>
      <c r="E898" s="3"/>
      <c r="F898" s="3">
        <v>678571</v>
      </c>
    </row>
    <row r="899" spans="1:6" x14ac:dyDescent="0.25">
      <c r="A899" s="2" t="s">
        <v>843</v>
      </c>
      <c r="B899" s="2" t="s">
        <v>423</v>
      </c>
      <c r="C899" s="2"/>
      <c r="D899" s="6"/>
      <c r="E899" s="3"/>
      <c r="F899" s="3">
        <v>400000</v>
      </c>
    </row>
    <row r="900" spans="1:6" ht="15.75" thickBot="1" x14ac:dyDescent="0.3">
      <c r="A900" s="1" t="s">
        <v>843</v>
      </c>
      <c r="B900" s="4" t="s">
        <v>171</v>
      </c>
      <c r="C900" s="4"/>
      <c r="D900" s="7">
        <v>45322</v>
      </c>
      <c r="E900" s="8">
        <v>400000</v>
      </c>
      <c r="F900" s="8">
        <f>ROUND(F899+E900,5)</f>
        <v>800000</v>
      </c>
    </row>
    <row r="901" spans="1:6" x14ac:dyDescent="0.25">
      <c r="A901" s="2" t="s">
        <v>844</v>
      </c>
      <c r="B901" s="2" t="s">
        <v>424</v>
      </c>
      <c r="C901" s="2"/>
      <c r="D901" s="6"/>
      <c r="E901" s="3"/>
      <c r="F901" s="3">
        <v>100000</v>
      </c>
    </row>
    <row r="902" spans="1:6" x14ac:dyDescent="0.25">
      <c r="A902" s="4" t="s">
        <v>844</v>
      </c>
      <c r="B902" s="4" t="s">
        <v>170</v>
      </c>
      <c r="C902" s="4"/>
      <c r="D902" s="7">
        <v>45329</v>
      </c>
      <c r="E902" s="5">
        <v>-65000</v>
      </c>
      <c r="F902" s="5">
        <f>ROUND(F901+E902,5)</f>
        <v>35000</v>
      </c>
    </row>
    <row r="903" spans="1:6" ht="15.75" thickBot="1" x14ac:dyDescent="0.3">
      <c r="A903" s="4" t="s">
        <v>844</v>
      </c>
      <c r="B903" s="4" t="s">
        <v>170</v>
      </c>
      <c r="C903" s="4"/>
      <c r="D903" s="7">
        <v>45393</v>
      </c>
      <c r="E903" s="8">
        <v>-50000</v>
      </c>
      <c r="F903" s="8">
        <f>ROUND(F902+E903,5)</f>
        <v>-15000</v>
      </c>
    </row>
    <row r="904" spans="1:6" x14ac:dyDescent="0.25">
      <c r="A904" s="2" t="s">
        <v>845</v>
      </c>
      <c r="B904" s="2" t="s">
        <v>425</v>
      </c>
      <c r="C904" s="2"/>
      <c r="D904" s="6"/>
      <c r="E904" s="3"/>
      <c r="F904" s="3">
        <v>0</v>
      </c>
    </row>
    <row r="905" spans="1:6" x14ac:dyDescent="0.25">
      <c r="A905" s="2" t="s">
        <v>846</v>
      </c>
      <c r="B905" s="2" t="s">
        <v>426</v>
      </c>
      <c r="C905" s="2"/>
      <c r="D905" s="6"/>
      <c r="E905" s="3"/>
      <c r="F905" s="3">
        <v>625000</v>
      </c>
    </row>
    <row r="906" spans="1:6" x14ac:dyDescent="0.25">
      <c r="A906" s="2" t="s">
        <v>847</v>
      </c>
      <c r="B906" s="2" t="s">
        <v>427</v>
      </c>
      <c r="C906" s="2"/>
      <c r="D906" s="6"/>
      <c r="E906" s="3"/>
      <c r="F906" s="3">
        <v>28000</v>
      </c>
    </row>
    <row r="907" spans="1:6" x14ac:dyDescent="0.25">
      <c r="A907" s="4" t="s">
        <v>847</v>
      </c>
      <c r="B907" s="4" t="s">
        <v>171</v>
      </c>
      <c r="C907" s="4"/>
      <c r="D907" s="7">
        <v>45292</v>
      </c>
      <c r="E907" s="5">
        <v>300000</v>
      </c>
      <c r="F907" s="5">
        <f>ROUND(F906+E907,5)</f>
        <v>328000</v>
      </c>
    </row>
    <row r="908" spans="1:6" x14ac:dyDescent="0.25">
      <c r="A908" s="4" t="s">
        <v>847</v>
      </c>
      <c r="B908" s="4" t="s">
        <v>170</v>
      </c>
      <c r="C908" s="4"/>
      <c r="D908" s="7">
        <v>45296</v>
      </c>
      <c r="E908" s="5">
        <v>-100000</v>
      </c>
      <c r="F908" s="5">
        <f>ROUND(F907+E908,5)</f>
        <v>228000</v>
      </c>
    </row>
    <row r="909" spans="1:6" x14ac:dyDescent="0.25">
      <c r="A909" s="4" t="s">
        <v>847</v>
      </c>
      <c r="B909" s="4" t="s">
        <v>170</v>
      </c>
      <c r="C909" s="4"/>
      <c r="D909" s="7">
        <v>45406</v>
      </c>
      <c r="E909" s="5">
        <v>-50000</v>
      </c>
      <c r="F909" s="5">
        <f>ROUND(F908+E909,5)</f>
        <v>178000</v>
      </c>
    </row>
    <row r="910" spans="1:6" ht="15.75" thickBot="1" x14ac:dyDescent="0.3">
      <c r="A910" s="4" t="s">
        <v>847</v>
      </c>
      <c r="B910" s="4" t="s">
        <v>170</v>
      </c>
      <c r="C910" s="4"/>
      <c r="D910" s="7">
        <v>45436</v>
      </c>
      <c r="E910" s="8">
        <v>-100000</v>
      </c>
      <c r="F910" s="8">
        <f>ROUND(F909+E910,5)</f>
        <v>78000</v>
      </c>
    </row>
    <row r="911" spans="1:6" x14ac:dyDescent="0.25">
      <c r="A911" s="2" t="s">
        <v>848</v>
      </c>
      <c r="B911" s="2" t="s">
        <v>428</v>
      </c>
      <c r="C911" s="2"/>
      <c r="D911" s="6"/>
      <c r="E911" s="3"/>
      <c r="F911" s="3">
        <v>0</v>
      </c>
    </row>
    <row r="912" spans="1:6" x14ac:dyDescent="0.25">
      <c r="A912" s="2" t="s">
        <v>849</v>
      </c>
      <c r="B912" s="2" t="s">
        <v>429</v>
      </c>
      <c r="C912" s="2"/>
      <c r="D912" s="6"/>
      <c r="E912" s="3"/>
      <c r="F912" s="3">
        <v>0</v>
      </c>
    </row>
    <row r="913" spans="1:6" x14ac:dyDescent="0.25">
      <c r="A913" s="4" t="s">
        <v>849</v>
      </c>
      <c r="B913" s="4" t="s">
        <v>171</v>
      </c>
      <c r="C913" s="4"/>
      <c r="D913" s="7">
        <v>45306</v>
      </c>
      <c r="E913" s="5">
        <v>325000</v>
      </c>
      <c r="F913" s="5">
        <f>ROUND(F912+E913,5)</f>
        <v>325000</v>
      </c>
    </row>
    <row r="914" spans="1:6" x14ac:dyDescent="0.25">
      <c r="A914" s="4" t="s">
        <v>849</v>
      </c>
      <c r="B914" s="4" t="s">
        <v>173</v>
      </c>
      <c r="C914" s="4"/>
      <c r="D914" s="7">
        <v>45344</v>
      </c>
      <c r="E914" s="5">
        <v>-25000</v>
      </c>
      <c r="F914" s="5">
        <f>ROUND(F913+E914,5)</f>
        <v>300000</v>
      </c>
    </row>
    <row r="915" spans="1:6" ht="15.75" thickBot="1" x14ac:dyDescent="0.3">
      <c r="A915" s="4" t="s">
        <v>849</v>
      </c>
      <c r="B915" s="4" t="s">
        <v>170</v>
      </c>
      <c r="C915" s="4"/>
      <c r="D915" s="7">
        <v>45433</v>
      </c>
      <c r="E915" s="8">
        <v>-300000</v>
      </c>
      <c r="F915" s="8">
        <f>ROUND(F914+E915,5)</f>
        <v>0</v>
      </c>
    </row>
    <row r="916" spans="1:6" x14ac:dyDescent="0.25">
      <c r="A916" s="2" t="s">
        <v>850</v>
      </c>
      <c r="B916" s="2" t="s">
        <v>430</v>
      </c>
      <c r="C916" s="2"/>
      <c r="D916" s="6"/>
      <c r="E916" s="3"/>
      <c r="F916" s="3">
        <v>300000</v>
      </c>
    </row>
    <row r="917" spans="1:6" ht="15.75" thickBot="1" x14ac:dyDescent="0.3">
      <c r="A917" s="1" t="s">
        <v>850</v>
      </c>
      <c r="B917" s="4" t="s">
        <v>171</v>
      </c>
      <c r="C917" s="4"/>
      <c r="D917" s="7">
        <v>45322</v>
      </c>
      <c r="E917" s="8">
        <v>300000</v>
      </c>
      <c r="F917" s="8">
        <f>ROUND(F916+E917,5)</f>
        <v>600000</v>
      </c>
    </row>
    <row r="918" spans="1:6" x14ac:dyDescent="0.25">
      <c r="A918" s="2" t="s">
        <v>851</v>
      </c>
      <c r="B918" s="2" t="s">
        <v>431</v>
      </c>
      <c r="C918" s="2"/>
      <c r="D918" s="6"/>
      <c r="E918" s="3"/>
      <c r="F918" s="3">
        <v>0</v>
      </c>
    </row>
    <row r="919" spans="1:6" x14ac:dyDescent="0.25">
      <c r="A919" s="4" t="s">
        <v>851</v>
      </c>
      <c r="B919" s="4" t="s">
        <v>171</v>
      </c>
      <c r="C919" s="4"/>
      <c r="D919" s="7">
        <v>45306</v>
      </c>
      <c r="E919" s="5">
        <v>425000</v>
      </c>
      <c r="F919" s="5">
        <f>ROUND(F918+E919,5)</f>
        <v>425000</v>
      </c>
    </row>
    <row r="920" spans="1:6" x14ac:dyDescent="0.25">
      <c r="A920" s="4" t="s">
        <v>851</v>
      </c>
      <c r="B920" s="4" t="s">
        <v>173</v>
      </c>
      <c r="C920" s="4"/>
      <c r="D920" s="7">
        <v>45344</v>
      </c>
      <c r="E920" s="5">
        <v>-225000</v>
      </c>
      <c r="F920" s="5">
        <f>ROUND(F919+E920,5)</f>
        <v>200000</v>
      </c>
    </row>
    <row r="921" spans="1:6" ht="15.75" thickBot="1" x14ac:dyDescent="0.3">
      <c r="A921" s="4" t="s">
        <v>851</v>
      </c>
      <c r="B921" s="4" t="s">
        <v>170</v>
      </c>
      <c r="C921" s="4"/>
      <c r="D921" s="7">
        <v>45439</v>
      </c>
      <c r="E921" s="8">
        <v>-200000</v>
      </c>
      <c r="F921" s="8">
        <f>ROUND(F920+E921,5)</f>
        <v>0</v>
      </c>
    </row>
    <row r="922" spans="1:6" x14ac:dyDescent="0.25">
      <c r="A922" s="2" t="s">
        <v>852</v>
      </c>
      <c r="B922" s="2" t="s">
        <v>432</v>
      </c>
      <c r="C922" s="2"/>
      <c r="D922" s="6"/>
      <c r="E922" s="3"/>
      <c r="F922" s="3">
        <v>600000</v>
      </c>
    </row>
    <row r="923" spans="1:6" x14ac:dyDescent="0.25">
      <c r="A923" s="2" t="s">
        <v>853</v>
      </c>
      <c r="B923" s="2" t="s">
        <v>433</v>
      </c>
      <c r="C923" s="2"/>
      <c r="D923" s="6"/>
      <c r="E923" s="3"/>
      <c r="F923" s="3">
        <v>278571</v>
      </c>
    </row>
    <row r="924" spans="1:6" x14ac:dyDescent="0.25">
      <c r="A924" s="2" t="s">
        <v>854</v>
      </c>
      <c r="B924" s="2" t="s">
        <v>434</v>
      </c>
      <c r="C924" s="2"/>
      <c r="D924" s="6"/>
      <c r="E924" s="3"/>
      <c r="F924" s="3">
        <v>90000</v>
      </c>
    </row>
    <row r="925" spans="1:6" x14ac:dyDescent="0.25">
      <c r="A925" s="4" t="s">
        <v>854</v>
      </c>
      <c r="B925" s="4" t="s">
        <v>171</v>
      </c>
      <c r="C925" s="4"/>
      <c r="D925" s="7">
        <v>45306</v>
      </c>
      <c r="E925" s="5">
        <v>300000</v>
      </c>
      <c r="F925" s="5">
        <f>ROUND(F924+E925,5)</f>
        <v>390000</v>
      </c>
    </row>
    <row r="926" spans="1:6" x14ac:dyDescent="0.25">
      <c r="A926" s="4" t="s">
        <v>854</v>
      </c>
      <c r="B926" s="4" t="s">
        <v>170</v>
      </c>
      <c r="C926" s="4"/>
      <c r="D926" s="7">
        <v>45370</v>
      </c>
      <c r="E926" s="5">
        <v>-200000</v>
      </c>
      <c r="F926" s="5">
        <f>ROUND(F925+E926,5)</f>
        <v>190000</v>
      </c>
    </row>
    <row r="927" spans="1:6" x14ac:dyDescent="0.25">
      <c r="A927" s="4" t="s">
        <v>854</v>
      </c>
      <c r="B927" s="4" t="s">
        <v>170</v>
      </c>
      <c r="C927" s="4"/>
      <c r="D927" s="7">
        <v>45391</v>
      </c>
      <c r="E927" s="5">
        <v>-100000</v>
      </c>
      <c r="F927" s="5">
        <f>ROUND(F926+E927,5)</f>
        <v>90000</v>
      </c>
    </row>
    <row r="928" spans="1:6" ht="15.75" thickBot="1" x14ac:dyDescent="0.3">
      <c r="A928" s="4" t="s">
        <v>854</v>
      </c>
      <c r="B928" s="4" t="s">
        <v>170</v>
      </c>
      <c r="C928" s="4"/>
      <c r="D928" s="7">
        <v>45391</v>
      </c>
      <c r="E928" s="8">
        <v>-10000</v>
      </c>
      <c r="F928" s="8">
        <f>ROUND(F927+E928,5)</f>
        <v>80000</v>
      </c>
    </row>
    <row r="929" spans="1:6" x14ac:dyDescent="0.25">
      <c r="A929" s="2" t="s">
        <v>855</v>
      </c>
      <c r="B929" s="2" t="s">
        <v>435</v>
      </c>
      <c r="C929" s="2"/>
      <c r="D929" s="6"/>
      <c r="E929" s="3"/>
      <c r="F929" s="3">
        <v>0</v>
      </c>
    </row>
    <row r="930" spans="1:6" x14ac:dyDescent="0.25">
      <c r="A930" s="4" t="s">
        <v>855</v>
      </c>
      <c r="B930" s="4" t="s">
        <v>171</v>
      </c>
      <c r="C930" s="4"/>
      <c r="D930" s="7">
        <v>45306</v>
      </c>
      <c r="E930" s="5">
        <v>300000</v>
      </c>
      <c r="F930" s="5">
        <f>ROUND(F929+E930,5)</f>
        <v>300000</v>
      </c>
    </row>
    <row r="931" spans="1:6" x14ac:dyDescent="0.25">
      <c r="A931" s="4" t="s">
        <v>855</v>
      </c>
      <c r="B931" s="4" t="s">
        <v>170</v>
      </c>
      <c r="C931" s="4"/>
      <c r="D931" s="7">
        <v>45341</v>
      </c>
      <c r="E931" s="5">
        <v>-50000</v>
      </c>
      <c r="F931" s="5">
        <f>ROUND(F930+E931,5)</f>
        <v>250000</v>
      </c>
    </row>
    <row r="932" spans="1:6" x14ac:dyDescent="0.25">
      <c r="A932" s="4" t="s">
        <v>855</v>
      </c>
      <c r="B932" s="4" t="s">
        <v>170</v>
      </c>
      <c r="C932" s="4"/>
      <c r="D932" s="7">
        <v>45365</v>
      </c>
      <c r="E932" s="5">
        <v>-60000</v>
      </c>
      <c r="F932" s="5">
        <f>ROUND(F931+E932,5)</f>
        <v>190000</v>
      </c>
    </row>
    <row r="933" spans="1:6" ht="15.75" thickBot="1" x14ac:dyDescent="0.3">
      <c r="A933" s="4" t="s">
        <v>855</v>
      </c>
      <c r="B933" s="4" t="s">
        <v>170</v>
      </c>
      <c r="C933" s="4"/>
      <c r="D933" s="7">
        <v>45434</v>
      </c>
      <c r="E933" s="8">
        <v>-100000</v>
      </c>
      <c r="F933" s="8">
        <f>ROUND(F932+E933,5)</f>
        <v>90000</v>
      </c>
    </row>
    <row r="934" spans="1:6" x14ac:dyDescent="0.25">
      <c r="A934" s="2" t="s">
        <v>856</v>
      </c>
      <c r="B934" s="2" t="s">
        <v>436</v>
      </c>
      <c r="C934" s="2"/>
      <c r="D934" s="6"/>
      <c r="E934" s="3"/>
      <c r="F934" s="3">
        <v>0</v>
      </c>
    </row>
    <row r="935" spans="1:6" x14ac:dyDescent="0.25">
      <c r="A935" s="4" t="s">
        <v>856</v>
      </c>
      <c r="B935" s="4" t="s">
        <v>171</v>
      </c>
      <c r="C935" s="4"/>
      <c r="D935" s="7">
        <v>45306</v>
      </c>
      <c r="E935" s="5">
        <v>425000</v>
      </c>
      <c r="F935" s="5">
        <f>ROUND(F934+E935,5)</f>
        <v>425000</v>
      </c>
    </row>
    <row r="936" spans="1:6" x14ac:dyDescent="0.25">
      <c r="A936" s="4" t="s">
        <v>856</v>
      </c>
      <c r="B936" s="4" t="s">
        <v>170</v>
      </c>
      <c r="C936" s="4"/>
      <c r="D936" s="7">
        <v>45317</v>
      </c>
      <c r="E936" s="5">
        <v>-200000</v>
      </c>
      <c r="F936" s="5">
        <f>ROUND(F935+E936,5)</f>
        <v>225000</v>
      </c>
    </row>
    <row r="937" spans="1:6" ht="15.75" thickBot="1" x14ac:dyDescent="0.3">
      <c r="A937" s="4" t="s">
        <v>856</v>
      </c>
      <c r="B937" s="4" t="s">
        <v>170</v>
      </c>
      <c r="C937" s="4"/>
      <c r="D937" s="7">
        <v>45408</v>
      </c>
      <c r="E937" s="8">
        <v>-200000</v>
      </c>
      <c r="F937" s="8">
        <f>ROUND(F936+E937,5)</f>
        <v>25000</v>
      </c>
    </row>
    <row r="938" spans="1:6" x14ac:dyDescent="0.25">
      <c r="A938" s="2" t="s">
        <v>857</v>
      </c>
      <c r="B938" s="2" t="s">
        <v>437</v>
      </c>
      <c r="C938" s="2"/>
      <c r="D938" s="6"/>
      <c r="E938" s="3"/>
      <c r="F938" s="3">
        <v>0</v>
      </c>
    </row>
    <row r="939" spans="1:6" x14ac:dyDescent="0.25">
      <c r="A939" s="4" t="s">
        <v>857</v>
      </c>
      <c r="B939" s="4" t="s">
        <v>171</v>
      </c>
      <c r="C939" s="4"/>
      <c r="D939" s="7">
        <v>45306</v>
      </c>
      <c r="E939" s="5">
        <v>425000</v>
      </c>
      <c r="F939" s="5">
        <f>ROUND(F938+E939,5)</f>
        <v>425000</v>
      </c>
    </row>
    <row r="940" spans="1:6" x14ac:dyDescent="0.25">
      <c r="A940" s="4" t="s">
        <v>857</v>
      </c>
      <c r="B940" s="4" t="s">
        <v>170</v>
      </c>
      <c r="C940" s="4"/>
      <c r="D940" s="7">
        <v>45370</v>
      </c>
      <c r="E940" s="5">
        <v>-300000</v>
      </c>
      <c r="F940" s="5">
        <f>ROUND(F939+E940,5)</f>
        <v>125000</v>
      </c>
    </row>
    <row r="941" spans="1:6" ht="15.75" thickBot="1" x14ac:dyDescent="0.3">
      <c r="A941" s="4" t="s">
        <v>857</v>
      </c>
      <c r="B941" s="4" t="s">
        <v>170</v>
      </c>
      <c r="C941" s="4"/>
      <c r="D941" s="7">
        <v>45391</v>
      </c>
      <c r="E941" s="8">
        <v>-100000</v>
      </c>
      <c r="F941" s="8">
        <f>ROUND(F940+E941,5)</f>
        <v>25000</v>
      </c>
    </row>
    <row r="942" spans="1:6" x14ac:dyDescent="0.25">
      <c r="A942" s="2" t="s">
        <v>858</v>
      </c>
      <c r="B942" s="2" t="s">
        <v>438</v>
      </c>
      <c r="C942" s="2"/>
      <c r="D942" s="6"/>
      <c r="E942" s="3"/>
      <c r="F942" s="3">
        <v>0</v>
      </c>
    </row>
    <row r="943" spans="1:6" x14ac:dyDescent="0.25">
      <c r="A943" s="2" t="s">
        <v>859</v>
      </c>
      <c r="B943" s="2" t="s">
        <v>439</v>
      </c>
      <c r="C943" s="2"/>
      <c r="D943" s="6"/>
      <c r="E943" s="3"/>
      <c r="F943" s="3">
        <v>0</v>
      </c>
    </row>
    <row r="944" spans="1:6" x14ac:dyDescent="0.25">
      <c r="A944" s="4" t="s">
        <v>859</v>
      </c>
      <c r="B944" s="4" t="s">
        <v>171</v>
      </c>
      <c r="C944" s="4"/>
      <c r="D944" s="7">
        <v>45306</v>
      </c>
      <c r="E944" s="5">
        <v>425000</v>
      </c>
      <c r="F944" s="5">
        <f>ROUND(F943+E944,5)</f>
        <v>425000</v>
      </c>
    </row>
    <row r="945" spans="1:6" ht="15.75" thickBot="1" x14ac:dyDescent="0.3">
      <c r="A945" s="4" t="s">
        <v>859</v>
      </c>
      <c r="B945" s="4" t="s">
        <v>173</v>
      </c>
      <c r="C945" s="4"/>
      <c r="D945" s="7">
        <v>45344</v>
      </c>
      <c r="E945" s="8">
        <v>-25000</v>
      </c>
      <c r="F945" s="8">
        <f>ROUND(F944+E945,5)</f>
        <v>400000</v>
      </c>
    </row>
    <row r="946" spans="1:6" x14ac:dyDescent="0.25">
      <c r="A946" s="2" t="s">
        <v>860</v>
      </c>
      <c r="B946" s="2" t="s">
        <v>440</v>
      </c>
      <c r="C946" s="2"/>
      <c r="D946" s="6"/>
      <c r="E946" s="3"/>
      <c r="F946" s="3">
        <v>0</v>
      </c>
    </row>
    <row r="947" spans="1:6" x14ac:dyDescent="0.25">
      <c r="A947" s="4" t="s">
        <v>860</v>
      </c>
      <c r="B947" s="4" t="s">
        <v>171</v>
      </c>
      <c r="C947" s="4"/>
      <c r="D947" s="7">
        <v>45306</v>
      </c>
      <c r="E947" s="5">
        <v>425000</v>
      </c>
      <c r="F947" s="5">
        <f>ROUND(F946+E947,5)</f>
        <v>425000</v>
      </c>
    </row>
    <row r="948" spans="1:6" ht="15.75" thickBot="1" x14ac:dyDescent="0.3">
      <c r="A948" s="4" t="s">
        <v>860</v>
      </c>
      <c r="B948" s="4" t="s">
        <v>170</v>
      </c>
      <c r="C948" s="4"/>
      <c r="D948" s="7">
        <v>45317</v>
      </c>
      <c r="E948" s="8">
        <v>-25000</v>
      </c>
      <c r="F948" s="8">
        <f>ROUND(F947+E948,5)</f>
        <v>400000</v>
      </c>
    </row>
    <row r="949" spans="1:6" x14ac:dyDescent="0.25">
      <c r="A949" s="2" t="s">
        <v>861</v>
      </c>
      <c r="B949" s="2" t="s">
        <v>441</v>
      </c>
      <c r="C949" s="2"/>
      <c r="D949" s="6"/>
      <c r="E949" s="3"/>
      <c r="F949" s="3">
        <v>0</v>
      </c>
    </row>
    <row r="950" spans="1:6" x14ac:dyDescent="0.25">
      <c r="A950" s="2" t="s">
        <v>862</v>
      </c>
      <c r="B950" s="2" t="s">
        <v>442</v>
      </c>
      <c r="C950" s="2"/>
      <c r="D950" s="6"/>
      <c r="E950" s="3"/>
      <c r="F950" s="3">
        <v>0</v>
      </c>
    </row>
    <row r="951" spans="1:6" x14ac:dyDescent="0.25">
      <c r="A951" s="2" t="s">
        <v>863</v>
      </c>
      <c r="B951" s="2" t="s">
        <v>443</v>
      </c>
      <c r="C951" s="2"/>
      <c r="D951" s="6"/>
      <c r="E951" s="3"/>
      <c r="F951" s="3">
        <v>0</v>
      </c>
    </row>
    <row r="952" spans="1:6" x14ac:dyDescent="0.25">
      <c r="A952" s="2" t="s">
        <v>864</v>
      </c>
      <c r="B952" s="2" t="s">
        <v>444</v>
      </c>
      <c r="C952" s="2"/>
      <c r="D952" s="6"/>
      <c r="E952" s="3"/>
      <c r="F952" s="3">
        <v>65000</v>
      </c>
    </row>
    <row r="953" spans="1:6" ht="15.75" thickBot="1" x14ac:dyDescent="0.3">
      <c r="A953" s="1" t="s">
        <v>864</v>
      </c>
      <c r="B953" s="4" t="s">
        <v>170</v>
      </c>
      <c r="C953" s="4"/>
      <c r="D953" s="7">
        <v>45378</v>
      </c>
      <c r="E953" s="8">
        <v>-65000</v>
      </c>
      <c r="F953" s="8">
        <f>ROUND(F952+E953,5)</f>
        <v>0</v>
      </c>
    </row>
    <row r="954" spans="1:6" x14ac:dyDescent="0.25">
      <c r="A954" s="2" t="s">
        <v>839</v>
      </c>
      <c r="B954" s="2" t="s">
        <v>445</v>
      </c>
      <c r="C954" s="2"/>
      <c r="D954" s="6"/>
      <c r="E954" s="3"/>
      <c r="F954" s="3">
        <v>400000</v>
      </c>
    </row>
    <row r="955" spans="1:6" x14ac:dyDescent="0.25">
      <c r="A955" s="2" t="s">
        <v>813</v>
      </c>
      <c r="B955" s="2" t="s">
        <v>446</v>
      </c>
      <c r="C955" s="2"/>
      <c r="D955" s="6"/>
      <c r="E955" s="3"/>
      <c r="F955" s="3">
        <v>-505</v>
      </c>
    </row>
    <row r="956" spans="1:6" x14ac:dyDescent="0.25">
      <c r="A956" s="2" t="s">
        <v>867</v>
      </c>
      <c r="B956" s="2" t="s">
        <v>447</v>
      </c>
      <c r="C956" s="2"/>
      <c r="D956" s="6"/>
      <c r="E956" s="3"/>
      <c r="F956" s="3">
        <v>0</v>
      </c>
    </row>
    <row r="957" spans="1:6" ht="15.75" thickBot="1" x14ac:dyDescent="0.3">
      <c r="A957" s="1" t="s">
        <v>867</v>
      </c>
      <c r="B957" s="4" t="s">
        <v>171</v>
      </c>
      <c r="C957" s="4"/>
      <c r="D957" s="7">
        <v>45306</v>
      </c>
      <c r="E957" s="8">
        <v>325000</v>
      </c>
      <c r="F957" s="8">
        <f>ROUND(F956+E957,5)</f>
        <v>325000</v>
      </c>
    </row>
    <row r="958" spans="1:6" x14ac:dyDescent="0.25">
      <c r="A958" s="2" t="s">
        <v>865</v>
      </c>
      <c r="B958" s="2" t="s">
        <v>448</v>
      </c>
      <c r="C958" s="2"/>
      <c r="D958" s="6"/>
      <c r="E958" s="3"/>
      <c r="F958" s="3">
        <v>1100000</v>
      </c>
    </row>
    <row r="959" spans="1:6" ht="15.75" thickBot="1" x14ac:dyDescent="0.3">
      <c r="A959" s="1" t="s">
        <v>865</v>
      </c>
      <c r="B959" s="4" t="s">
        <v>171</v>
      </c>
      <c r="C959" s="4"/>
      <c r="D959" s="7">
        <v>45306</v>
      </c>
      <c r="E959" s="8">
        <v>300000</v>
      </c>
      <c r="F959" s="8">
        <f>ROUND(F958+E959,5)</f>
        <v>1400000</v>
      </c>
    </row>
    <row r="960" spans="1:6" x14ac:dyDescent="0.25">
      <c r="A960" s="2" t="s">
        <v>866</v>
      </c>
      <c r="B960" s="2" t="s">
        <v>449</v>
      </c>
      <c r="C960" s="2"/>
      <c r="D960" s="6"/>
      <c r="E960" s="3"/>
      <c r="F960" s="3">
        <v>0</v>
      </c>
    </row>
    <row r="961" spans="1:6" x14ac:dyDescent="0.25">
      <c r="A961" s="2" t="s">
        <v>716</v>
      </c>
      <c r="B961" s="2" t="s">
        <v>450</v>
      </c>
      <c r="C961" s="2"/>
      <c r="D961" s="6"/>
      <c r="E961" s="3"/>
      <c r="F961" s="3">
        <v>1485100</v>
      </c>
    </row>
    <row r="962" spans="1:6" x14ac:dyDescent="0.25">
      <c r="A962" s="2" t="s">
        <v>871</v>
      </c>
      <c r="B962" s="2" t="s">
        <v>451</v>
      </c>
      <c r="C962" s="2"/>
      <c r="D962" s="6"/>
      <c r="E962" s="3"/>
      <c r="F962" s="3">
        <v>0</v>
      </c>
    </row>
    <row r="963" spans="1:6" x14ac:dyDescent="0.25">
      <c r="A963" s="4" t="s">
        <v>871</v>
      </c>
      <c r="B963" s="4" t="s">
        <v>171</v>
      </c>
      <c r="C963" s="4"/>
      <c r="D963" s="7">
        <v>45306</v>
      </c>
      <c r="E963" s="5">
        <v>425000</v>
      </c>
      <c r="F963" s="5">
        <f>ROUND(F962+E963,5)</f>
        <v>425000</v>
      </c>
    </row>
    <row r="964" spans="1:6" ht="15.75" thickBot="1" x14ac:dyDescent="0.3">
      <c r="A964" s="4" t="s">
        <v>871</v>
      </c>
      <c r="B964" s="4" t="s">
        <v>170</v>
      </c>
      <c r="C964" s="4"/>
      <c r="D964" s="7">
        <v>45436</v>
      </c>
      <c r="E964" s="8">
        <v>-200000</v>
      </c>
      <c r="F964" s="8">
        <f>ROUND(F963+E964,5)</f>
        <v>225000</v>
      </c>
    </row>
    <row r="965" spans="1:6" x14ac:dyDescent="0.25">
      <c r="A965" s="2" t="s">
        <v>872</v>
      </c>
      <c r="B965" s="2" t="s">
        <v>452</v>
      </c>
      <c r="C965" s="2"/>
      <c r="D965" s="6"/>
      <c r="E965" s="3"/>
      <c r="F965" s="3">
        <v>0</v>
      </c>
    </row>
    <row r="966" spans="1:6" x14ac:dyDescent="0.25">
      <c r="A966" s="4" t="s">
        <v>872</v>
      </c>
      <c r="B966" s="4" t="s">
        <v>171</v>
      </c>
      <c r="C966" s="4"/>
      <c r="D966" s="7">
        <v>45306</v>
      </c>
      <c r="E966" s="5">
        <v>425000</v>
      </c>
      <c r="F966" s="5">
        <f>ROUND(F965+E966,5)</f>
        <v>425000</v>
      </c>
    </row>
    <row r="967" spans="1:6" x14ac:dyDescent="0.25">
      <c r="A967" s="4" t="s">
        <v>872</v>
      </c>
      <c r="B967" s="4" t="s">
        <v>171</v>
      </c>
      <c r="C967" s="4"/>
      <c r="D967" s="7">
        <v>45306</v>
      </c>
      <c r="E967" s="5">
        <v>400000</v>
      </c>
      <c r="F967" s="5">
        <f>ROUND(F966+E967,5)</f>
        <v>825000</v>
      </c>
    </row>
    <row r="968" spans="1:6" x14ac:dyDescent="0.25">
      <c r="A968" s="4" t="s">
        <v>872</v>
      </c>
      <c r="B968" s="4" t="s">
        <v>170</v>
      </c>
      <c r="C968" s="4"/>
      <c r="D968" s="7">
        <v>45370</v>
      </c>
      <c r="E968" s="5">
        <v>-300000</v>
      </c>
      <c r="F968" s="5">
        <f>ROUND(F967+E968,5)</f>
        <v>525000</v>
      </c>
    </row>
    <row r="969" spans="1:6" ht="15.75" thickBot="1" x14ac:dyDescent="0.3">
      <c r="A969" s="4" t="s">
        <v>872</v>
      </c>
      <c r="B969" s="4" t="s">
        <v>170</v>
      </c>
      <c r="C969" s="4"/>
      <c r="D969" s="7">
        <v>45391</v>
      </c>
      <c r="E969" s="8">
        <v>-100000</v>
      </c>
      <c r="F969" s="8">
        <f>ROUND(F968+E969,5)</f>
        <v>425000</v>
      </c>
    </row>
    <row r="970" spans="1:6" x14ac:dyDescent="0.25">
      <c r="A970" s="2" t="s">
        <v>868</v>
      </c>
      <c r="B970" s="2" t="s">
        <v>453</v>
      </c>
      <c r="C970" s="2"/>
      <c r="D970" s="6"/>
      <c r="E970" s="3"/>
      <c r="F970" s="3">
        <v>900000</v>
      </c>
    </row>
    <row r="971" spans="1:6" x14ac:dyDescent="0.25">
      <c r="A971" s="2" t="s">
        <v>869</v>
      </c>
      <c r="B971" s="2" t="s">
        <v>454</v>
      </c>
      <c r="C971" s="2"/>
      <c r="D971" s="6"/>
      <c r="E971" s="3"/>
      <c r="F971" s="3">
        <v>65000</v>
      </c>
    </row>
    <row r="972" spans="1:6" ht="15.75" thickBot="1" x14ac:dyDescent="0.3">
      <c r="A972" s="1" t="s">
        <v>869</v>
      </c>
      <c r="B972" s="4" t="s">
        <v>170</v>
      </c>
      <c r="C972" s="4"/>
      <c r="D972" s="7">
        <v>45300</v>
      </c>
      <c r="E972" s="8">
        <v>-65000</v>
      </c>
      <c r="F972" s="8">
        <f>ROUND(F971+E972,5)</f>
        <v>0</v>
      </c>
    </row>
    <row r="973" spans="1:6" x14ac:dyDescent="0.25">
      <c r="A973" s="2" t="s">
        <v>870</v>
      </c>
      <c r="B973" s="2" t="s">
        <v>455</v>
      </c>
      <c r="C973" s="2"/>
      <c r="D973" s="6"/>
      <c r="E973" s="3"/>
      <c r="F973" s="3">
        <v>0</v>
      </c>
    </row>
    <row r="974" spans="1:6" x14ac:dyDescent="0.25">
      <c r="A974" s="4" t="s">
        <v>870</v>
      </c>
      <c r="B974" s="4" t="s">
        <v>171</v>
      </c>
      <c r="C974" s="4"/>
      <c r="D974" s="7">
        <v>45322</v>
      </c>
      <c r="E974" s="5">
        <v>300000</v>
      </c>
      <c r="F974" s="5">
        <f>ROUND(F973+E974,5)</f>
        <v>300000</v>
      </c>
    </row>
    <row r="975" spans="1:6" x14ac:dyDescent="0.25">
      <c r="A975" s="4" t="s">
        <v>870</v>
      </c>
      <c r="B975" s="4" t="s">
        <v>173</v>
      </c>
      <c r="C975" s="4"/>
      <c r="D975" s="7">
        <v>45337</v>
      </c>
      <c r="E975" s="5">
        <v>-150000</v>
      </c>
      <c r="F975" s="5">
        <f>ROUND(F974+E975,5)</f>
        <v>150000</v>
      </c>
    </row>
    <row r="976" spans="1:6" x14ac:dyDescent="0.25">
      <c r="A976" s="4" t="s">
        <v>870</v>
      </c>
      <c r="B976" s="4" t="s">
        <v>170</v>
      </c>
      <c r="C976" s="4"/>
      <c r="D976" s="7">
        <v>45363</v>
      </c>
      <c r="E976" s="5">
        <v>-75000</v>
      </c>
      <c r="F976" s="5">
        <f>ROUND(F975+E976,5)</f>
        <v>75000</v>
      </c>
    </row>
    <row r="977" spans="1:6" ht="15.75" thickBot="1" x14ac:dyDescent="0.3">
      <c r="A977" s="4" t="s">
        <v>870</v>
      </c>
      <c r="B977" s="4" t="s">
        <v>170</v>
      </c>
      <c r="C977" s="4"/>
      <c r="D977" s="7">
        <v>45401</v>
      </c>
      <c r="E977" s="8">
        <v>-75000</v>
      </c>
      <c r="F977" s="8">
        <f>ROUND(F976+E977,5)</f>
        <v>0</v>
      </c>
    </row>
    <row r="978" spans="1:6" x14ac:dyDescent="0.25">
      <c r="A978" s="2" t="s">
        <v>879</v>
      </c>
      <c r="B978" s="2" t="s">
        <v>456</v>
      </c>
      <c r="C978" s="2"/>
      <c r="D978" s="6"/>
      <c r="E978" s="3"/>
      <c r="F978" s="3">
        <v>0</v>
      </c>
    </row>
    <row r="979" spans="1:6" x14ac:dyDescent="0.25">
      <c r="A979" s="2" t="s">
        <v>873</v>
      </c>
      <c r="B979" s="2" t="s">
        <v>457</v>
      </c>
      <c r="C979" s="2"/>
      <c r="D979" s="6"/>
      <c r="E979" s="3"/>
      <c r="F979" s="3">
        <v>65000</v>
      </c>
    </row>
    <row r="980" spans="1:6" ht="15.75" thickBot="1" x14ac:dyDescent="0.3">
      <c r="A980" s="1" t="s">
        <v>873</v>
      </c>
      <c r="B980" s="4" t="s">
        <v>170</v>
      </c>
      <c r="C980" s="4"/>
      <c r="D980" s="7">
        <v>45294</v>
      </c>
      <c r="E980" s="8">
        <v>-65000</v>
      </c>
      <c r="F980" s="8">
        <f>ROUND(F979+E980,5)</f>
        <v>0</v>
      </c>
    </row>
    <row r="981" spans="1:6" x14ac:dyDescent="0.25">
      <c r="A981" s="2" t="s">
        <v>874</v>
      </c>
      <c r="B981" s="2" t="s">
        <v>458</v>
      </c>
      <c r="C981" s="2"/>
      <c r="D981" s="6"/>
      <c r="E981" s="3"/>
      <c r="F981" s="3">
        <v>65000</v>
      </c>
    </row>
    <row r="982" spans="1:6" ht="15.75" thickBot="1" x14ac:dyDescent="0.3">
      <c r="A982" s="1" t="s">
        <v>874</v>
      </c>
      <c r="B982" s="4" t="s">
        <v>170</v>
      </c>
      <c r="C982" s="4"/>
      <c r="D982" s="7">
        <v>45322</v>
      </c>
      <c r="E982" s="8">
        <v>-65000</v>
      </c>
      <c r="F982" s="8">
        <f>ROUND(F981+E982,5)</f>
        <v>0</v>
      </c>
    </row>
    <row r="983" spans="1:6" x14ac:dyDescent="0.25">
      <c r="A983" s="2" t="s">
        <v>875</v>
      </c>
      <c r="B983" s="2" t="s">
        <v>459</v>
      </c>
      <c r="C983" s="2"/>
      <c r="D983" s="6"/>
      <c r="E983" s="3"/>
      <c r="F983" s="3">
        <v>598571</v>
      </c>
    </row>
    <row r="984" spans="1:6" x14ac:dyDescent="0.25">
      <c r="A984" s="2" t="s">
        <v>876</v>
      </c>
      <c r="B984" s="2" t="s">
        <v>460</v>
      </c>
      <c r="C984" s="2"/>
      <c r="D984" s="6"/>
      <c r="E984" s="3"/>
      <c r="F984" s="3">
        <v>350750</v>
      </c>
    </row>
    <row r="985" spans="1:6" x14ac:dyDescent="0.25">
      <c r="A985" s="2" t="s">
        <v>877</v>
      </c>
      <c r="B985" s="2" t="s">
        <v>461</v>
      </c>
      <c r="C985" s="2"/>
      <c r="D985" s="6"/>
      <c r="E985" s="3"/>
      <c r="F985" s="3">
        <v>600000</v>
      </c>
    </row>
    <row r="986" spans="1:6" ht="15.75" thickBot="1" x14ac:dyDescent="0.3">
      <c r="A986" s="1" t="s">
        <v>877</v>
      </c>
      <c r="B986" s="4" t="s">
        <v>171</v>
      </c>
      <c r="C986" s="4"/>
      <c r="D986" s="7">
        <v>45306</v>
      </c>
      <c r="E986" s="8">
        <v>300000</v>
      </c>
      <c r="F986" s="8">
        <f>ROUND(F985+E986,5)</f>
        <v>900000</v>
      </c>
    </row>
    <row r="987" spans="1:6" x14ac:dyDescent="0.25">
      <c r="A987" s="2" t="s">
        <v>880</v>
      </c>
      <c r="B987" s="2" t="s">
        <v>462</v>
      </c>
      <c r="C987" s="2"/>
      <c r="D987" s="6"/>
      <c r="E987" s="3"/>
      <c r="F987" s="3">
        <v>225000</v>
      </c>
    </row>
    <row r="988" spans="1:6" x14ac:dyDescent="0.25">
      <c r="A988" s="2" t="s">
        <v>878</v>
      </c>
      <c r="B988" s="2" t="s">
        <v>463</v>
      </c>
      <c r="C988" s="2"/>
      <c r="D988" s="6"/>
      <c r="E988" s="3"/>
      <c r="F988" s="3">
        <v>0</v>
      </c>
    </row>
    <row r="989" spans="1:6" x14ac:dyDescent="0.25">
      <c r="A989" s="4" t="s">
        <v>878</v>
      </c>
      <c r="B989" s="4" t="s">
        <v>171</v>
      </c>
      <c r="C989" s="4"/>
      <c r="D989" s="7">
        <v>45306</v>
      </c>
      <c r="E989" s="5">
        <v>425000</v>
      </c>
      <c r="F989" s="5">
        <f>ROUND(F988+E989,5)</f>
        <v>425000</v>
      </c>
    </row>
    <row r="990" spans="1:6" x14ac:dyDescent="0.25">
      <c r="A990" s="4" t="s">
        <v>878</v>
      </c>
      <c r="B990" s="4" t="s">
        <v>170</v>
      </c>
      <c r="C990" s="4"/>
      <c r="D990" s="7">
        <v>45313</v>
      </c>
      <c r="E990" s="5">
        <v>-25000</v>
      </c>
      <c r="F990" s="5">
        <f>ROUND(F989+E990,5)</f>
        <v>400000</v>
      </c>
    </row>
    <row r="991" spans="1:6" x14ac:dyDescent="0.25">
      <c r="A991" s="4" t="s">
        <v>878</v>
      </c>
      <c r="B991" s="4" t="s">
        <v>170</v>
      </c>
      <c r="C991" s="4"/>
      <c r="D991" s="7">
        <v>45370</v>
      </c>
      <c r="E991" s="5">
        <v>-300000</v>
      </c>
      <c r="F991" s="5">
        <f>ROUND(F990+E991,5)</f>
        <v>100000</v>
      </c>
    </row>
    <row r="992" spans="1:6" ht="15.75" thickBot="1" x14ac:dyDescent="0.3">
      <c r="A992" s="4" t="s">
        <v>878</v>
      </c>
      <c r="B992" s="4" t="s">
        <v>170</v>
      </c>
      <c r="C992" s="4"/>
      <c r="D992" s="7">
        <v>45391</v>
      </c>
      <c r="E992" s="8">
        <v>-100000</v>
      </c>
      <c r="F992" s="8">
        <f>ROUND(F991+E992,5)</f>
        <v>0</v>
      </c>
    </row>
    <row r="993" spans="1:6" x14ac:dyDescent="0.25">
      <c r="A993" s="2" t="s">
        <v>881</v>
      </c>
      <c r="B993" s="2" t="s">
        <v>464</v>
      </c>
      <c r="C993" s="2"/>
      <c r="D993" s="6"/>
      <c r="E993" s="3"/>
      <c r="F993" s="3">
        <v>65000</v>
      </c>
    </row>
    <row r="994" spans="1:6" ht="15.75" thickBot="1" x14ac:dyDescent="0.3">
      <c r="A994" s="1" t="s">
        <v>881</v>
      </c>
      <c r="B994" s="4" t="s">
        <v>170</v>
      </c>
      <c r="C994" s="4"/>
      <c r="D994" s="7">
        <v>45304</v>
      </c>
      <c r="E994" s="8">
        <v>-65000</v>
      </c>
      <c r="F994" s="8">
        <f>ROUND(F993+E994,5)</f>
        <v>0</v>
      </c>
    </row>
    <row r="995" spans="1:6" x14ac:dyDescent="0.25">
      <c r="A995" s="2" t="s">
        <v>882</v>
      </c>
      <c r="B995" s="2" t="s">
        <v>465</v>
      </c>
      <c r="C995" s="2"/>
      <c r="D995" s="6"/>
      <c r="E995" s="3"/>
      <c r="F995" s="3">
        <v>423571</v>
      </c>
    </row>
    <row r="996" spans="1:6" x14ac:dyDescent="0.25">
      <c r="A996" s="4" t="s">
        <v>882</v>
      </c>
      <c r="B996" s="4" t="s">
        <v>171</v>
      </c>
      <c r="C996" s="4"/>
      <c r="D996" s="7">
        <v>45303</v>
      </c>
      <c r="E996" s="5">
        <v>50000</v>
      </c>
      <c r="F996" s="5">
        <f>ROUND(F995+E996,5)</f>
        <v>473571</v>
      </c>
    </row>
    <row r="997" spans="1:6" x14ac:dyDescent="0.25">
      <c r="A997" s="4" t="s">
        <v>882</v>
      </c>
      <c r="B997" s="4" t="s">
        <v>170</v>
      </c>
      <c r="C997" s="4"/>
      <c r="D997" s="7">
        <v>45303</v>
      </c>
      <c r="E997" s="5">
        <v>-25000</v>
      </c>
      <c r="F997" s="5">
        <f>ROUND(F996+E997,5)</f>
        <v>448571</v>
      </c>
    </row>
    <row r="998" spans="1:6" x14ac:dyDescent="0.25">
      <c r="A998" s="4" t="s">
        <v>882</v>
      </c>
      <c r="B998" s="4" t="s">
        <v>170</v>
      </c>
      <c r="C998" s="4"/>
      <c r="D998" s="7">
        <v>45303</v>
      </c>
      <c r="E998" s="5">
        <v>-25000</v>
      </c>
      <c r="F998" s="5">
        <f>ROUND(F997+E998,5)</f>
        <v>423571</v>
      </c>
    </row>
    <row r="999" spans="1:6" ht="15.75" thickBot="1" x14ac:dyDescent="0.3">
      <c r="A999" s="4" t="s">
        <v>882</v>
      </c>
      <c r="B999" s="4" t="s">
        <v>170</v>
      </c>
      <c r="C999" s="4"/>
      <c r="D999" s="7">
        <v>45370</v>
      </c>
      <c r="E999" s="8">
        <v>-423570</v>
      </c>
      <c r="F999" s="8">
        <f>ROUND(F998+E999,5)</f>
        <v>1</v>
      </c>
    </row>
    <row r="1000" spans="1:6" x14ac:dyDescent="0.25">
      <c r="A1000" s="2" t="s">
        <v>883</v>
      </c>
      <c r="B1000" s="2" t="s">
        <v>466</v>
      </c>
      <c r="C1000" s="2"/>
      <c r="D1000" s="6"/>
      <c r="E1000" s="3"/>
      <c r="F1000" s="3">
        <v>663571</v>
      </c>
    </row>
    <row r="1001" spans="1:6" x14ac:dyDescent="0.25">
      <c r="A1001" s="2" t="s">
        <v>884</v>
      </c>
      <c r="B1001" s="2" t="s">
        <v>467</v>
      </c>
      <c r="C1001" s="2"/>
      <c r="D1001" s="6"/>
      <c r="E1001" s="3"/>
      <c r="F1001" s="3">
        <v>800000</v>
      </c>
    </row>
    <row r="1002" spans="1:6" x14ac:dyDescent="0.25">
      <c r="A1002" s="2" t="s">
        <v>885</v>
      </c>
      <c r="B1002" s="2" t="s">
        <v>468</v>
      </c>
      <c r="C1002" s="2"/>
      <c r="D1002" s="6"/>
      <c r="E1002" s="3"/>
      <c r="F1002" s="3">
        <v>0</v>
      </c>
    </row>
    <row r="1003" spans="1:6" x14ac:dyDescent="0.25">
      <c r="A1003" s="2" t="s">
        <v>886</v>
      </c>
      <c r="B1003" s="2" t="s">
        <v>469</v>
      </c>
      <c r="C1003" s="2"/>
      <c r="D1003" s="6"/>
      <c r="E1003" s="3"/>
      <c r="F1003" s="3">
        <v>0</v>
      </c>
    </row>
    <row r="1004" spans="1:6" x14ac:dyDescent="0.25">
      <c r="A1004" s="4" t="s">
        <v>886</v>
      </c>
      <c r="B1004" s="4" t="s">
        <v>170</v>
      </c>
      <c r="C1004" s="4"/>
      <c r="D1004" s="7">
        <v>45303</v>
      </c>
      <c r="E1004" s="5">
        <v>-25000</v>
      </c>
      <c r="F1004" s="5">
        <f>ROUND(F1003+E1004,5)</f>
        <v>-25000</v>
      </c>
    </row>
    <row r="1005" spans="1:6" ht="15.75" thickBot="1" x14ac:dyDescent="0.3">
      <c r="A1005" s="4" t="s">
        <v>886</v>
      </c>
      <c r="B1005" s="4" t="s">
        <v>171</v>
      </c>
      <c r="C1005" s="4"/>
      <c r="D1005" s="7">
        <v>45306</v>
      </c>
      <c r="E1005" s="8">
        <v>425000</v>
      </c>
      <c r="F1005" s="8">
        <f>ROUND(F1004+E1005,5)</f>
        <v>400000</v>
      </c>
    </row>
    <row r="1006" spans="1:6" x14ac:dyDescent="0.25">
      <c r="A1006" s="2" t="s">
        <v>887</v>
      </c>
      <c r="B1006" s="2" t="s">
        <v>470</v>
      </c>
      <c r="C1006" s="2"/>
      <c r="D1006" s="6"/>
      <c r="E1006" s="3"/>
      <c r="F1006" s="3">
        <v>0</v>
      </c>
    </row>
    <row r="1007" spans="1:6" x14ac:dyDescent="0.25">
      <c r="A1007" s="4" t="s">
        <v>887</v>
      </c>
      <c r="B1007" s="4" t="s">
        <v>171</v>
      </c>
      <c r="C1007" s="4"/>
      <c r="D1007" s="7">
        <v>45306</v>
      </c>
      <c r="E1007" s="5">
        <v>300000</v>
      </c>
      <c r="F1007" s="5">
        <f>ROUND(F1006+E1007,5)</f>
        <v>300000</v>
      </c>
    </row>
    <row r="1008" spans="1:6" x14ac:dyDescent="0.25">
      <c r="A1008" s="4" t="s">
        <v>887</v>
      </c>
      <c r="B1008" s="4" t="s">
        <v>170</v>
      </c>
      <c r="C1008" s="4"/>
      <c r="D1008" s="7">
        <v>45340</v>
      </c>
      <c r="E1008" s="5">
        <v>-150000</v>
      </c>
      <c r="F1008" s="5">
        <f>ROUND(F1007+E1008,5)</f>
        <v>150000</v>
      </c>
    </row>
    <row r="1009" spans="1:6" ht="15.75" thickBot="1" x14ac:dyDescent="0.3">
      <c r="A1009" s="4" t="s">
        <v>887</v>
      </c>
      <c r="B1009" s="4" t="s">
        <v>170</v>
      </c>
      <c r="C1009" s="4"/>
      <c r="D1009" s="7">
        <v>45366</v>
      </c>
      <c r="E1009" s="8">
        <v>-150000</v>
      </c>
      <c r="F1009" s="8">
        <f>ROUND(F1008+E1009,5)</f>
        <v>0</v>
      </c>
    </row>
    <row r="1010" spans="1:6" x14ac:dyDescent="0.25">
      <c r="A1010" s="2" t="s">
        <v>888</v>
      </c>
      <c r="B1010" s="2" t="s">
        <v>471</v>
      </c>
      <c r="C1010" s="2"/>
      <c r="D1010" s="6"/>
      <c r="E1010" s="3"/>
      <c r="F1010" s="3">
        <v>0</v>
      </c>
    </row>
    <row r="1011" spans="1:6" x14ac:dyDescent="0.25">
      <c r="A1011" s="4" t="s">
        <v>888</v>
      </c>
      <c r="B1011" s="4" t="s">
        <v>171</v>
      </c>
      <c r="C1011" s="4"/>
      <c r="D1011" s="7">
        <v>45306</v>
      </c>
      <c r="E1011" s="5">
        <v>425000</v>
      </c>
      <c r="F1011" s="5">
        <f>ROUND(F1010+E1011,5)</f>
        <v>425000</v>
      </c>
    </row>
    <row r="1012" spans="1:6" x14ac:dyDescent="0.25">
      <c r="A1012" s="4" t="s">
        <v>888</v>
      </c>
      <c r="B1012" s="4" t="s">
        <v>170</v>
      </c>
      <c r="C1012" s="4"/>
      <c r="D1012" s="7">
        <v>45313</v>
      </c>
      <c r="E1012" s="5">
        <v>-25000</v>
      </c>
      <c r="F1012" s="5">
        <f>ROUND(F1011+E1012,5)</f>
        <v>400000</v>
      </c>
    </row>
    <row r="1013" spans="1:6" ht="15.75" thickBot="1" x14ac:dyDescent="0.3">
      <c r="A1013" s="4" t="s">
        <v>888</v>
      </c>
      <c r="B1013" s="4" t="s">
        <v>170</v>
      </c>
      <c r="C1013" s="4"/>
      <c r="D1013" s="7">
        <v>45433</v>
      </c>
      <c r="E1013" s="8">
        <v>-200000</v>
      </c>
      <c r="F1013" s="8">
        <f>ROUND(F1012+E1013,5)</f>
        <v>200000</v>
      </c>
    </row>
    <row r="1014" spans="1:6" x14ac:dyDescent="0.25">
      <c r="A1014" s="2" t="s">
        <v>889</v>
      </c>
      <c r="B1014" s="2" t="s">
        <v>472</v>
      </c>
      <c r="C1014" s="2"/>
      <c r="D1014" s="6"/>
      <c r="E1014" s="3"/>
      <c r="F1014" s="3">
        <v>400000</v>
      </c>
    </row>
    <row r="1015" spans="1:6" ht="15.75" thickBot="1" x14ac:dyDescent="0.3">
      <c r="A1015" s="1" t="s">
        <v>889</v>
      </c>
      <c r="B1015" s="4" t="s">
        <v>171</v>
      </c>
      <c r="C1015" s="4"/>
      <c r="D1015" s="7">
        <v>45322</v>
      </c>
      <c r="E1015" s="8">
        <v>400000</v>
      </c>
      <c r="F1015" s="8">
        <f>ROUND(F1014+E1015,5)</f>
        <v>800000</v>
      </c>
    </row>
    <row r="1016" spans="1:6" x14ac:dyDescent="0.25">
      <c r="A1016" s="2" t="s">
        <v>890</v>
      </c>
      <c r="B1016" s="2" t="s">
        <v>473</v>
      </c>
      <c r="C1016" s="2"/>
      <c r="D1016" s="6"/>
      <c r="E1016" s="3"/>
      <c r="F1016" s="3">
        <v>0</v>
      </c>
    </row>
    <row r="1017" spans="1:6" x14ac:dyDescent="0.25">
      <c r="A1017" s="2" t="s">
        <v>891</v>
      </c>
      <c r="B1017" s="2" t="s">
        <v>474</v>
      </c>
      <c r="C1017" s="2"/>
      <c r="D1017" s="6"/>
      <c r="E1017" s="3"/>
      <c r="F1017" s="3">
        <v>0</v>
      </c>
    </row>
    <row r="1018" spans="1:6" x14ac:dyDescent="0.25">
      <c r="A1018" s="4" t="s">
        <v>891</v>
      </c>
      <c r="B1018" s="4" t="s">
        <v>171</v>
      </c>
      <c r="C1018" s="4"/>
      <c r="D1018" s="7">
        <v>45306</v>
      </c>
      <c r="E1018" s="5">
        <v>425000</v>
      </c>
      <c r="F1018" s="5">
        <f>ROUND(F1017+E1018,5)</f>
        <v>425000</v>
      </c>
    </row>
    <row r="1019" spans="1:6" x14ac:dyDescent="0.25">
      <c r="A1019" s="4" t="s">
        <v>891</v>
      </c>
      <c r="B1019" s="4" t="s">
        <v>170</v>
      </c>
      <c r="C1019" s="4"/>
      <c r="D1019" s="7">
        <v>45317</v>
      </c>
      <c r="E1019" s="5">
        <v>-200000</v>
      </c>
      <c r="F1019" s="5">
        <f>ROUND(F1018+E1019,5)</f>
        <v>225000</v>
      </c>
    </row>
    <row r="1020" spans="1:6" x14ac:dyDescent="0.25">
      <c r="A1020" s="4" t="s">
        <v>891</v>
      </c>
      <c r="B1020" s="4" t="s">
        <v>170</v>
      </c>
      <c r="C1020" s="4"/>
      <c r="D1020" s="7">
        <v>45317</v>
      </c>
      <c r="E1020" s="5">
        <v>-25000</v>
      </c>
      <c r="F1020" s="5">
        <f>ROUND(F1019+E1020,5)</f>
        <v>200000</v>
      </c>
    </row>
    <row r="1021" spans="1:6" ht="15.75" thickBot="1" x14ac:dyDescent="0.3">
      <c r="A1021" s="4" t="s">
        <v>891</v>
      </c>
      <c r="B1021" s="4" t="s">
        <v>170</v>
      </c>
      <c r="C1021" s="4"/>
      <c r="D1021" s="7">
        <v>45415</v>
      </c>
      <c r="E1021" s="8">
        <v>-200000</v>
      </c>
      <c r="F1021" s="8">
        <f>ROUND(F1020+E1021,5)</f>
        <v>0</v>
      </c>
    </row>
    <row r="1022" spans="1:6" x14ac:dyDescent="0.25">
      <c r="A1022" s="2" t="s">
        <v>892</v>
      </c>
      <c r="B1022" s="2" t="s">
        <v>475</v>
      </c>
      <c r="C1022" s="2"/>
      <c r="D1022" s="6"/>
      <c r="E1022" s="3"/>
      <c r="F1022" s="3">
        <v>0</v>
      </c>
    </row>
    <row r="1023" spans="1:6" x14ac:dyDescent="0.25">
      <c r="A1023" s="4" t="s">
        <v>892</v>
      </c>
      <c r="B1023" s="4" t="s">
        <v>170</v>
      </c>
      <c r="C1023" s="4"/>
      <c r="D1023" s="7">
        <v>45300</v>
      </c>
      <c r="E1023" s="5">
        <v>-25000</v>
      </c>
      <c r="F1023" s="5">
        <f>ROUND(F1022+E1023,5)</f>
        <v>-25000</v>
      </c>
    </row>
    <row r="1024" spans="1:6" x14ac:dyDescent="0.25">
      <c r="A1024" s="4" t="s">
        <v>892</v>
      </c>
      <c r="B1024" s="4" t="s">
        <v>171</v>
      </c>
      <c r="C1024" s="4"/>
      <c r="D1024" s="7">
        <v>45306</v>
      </c>
      <c r="E1024" s="5">
        <v>425000</v>
      </c>
      <c r="F1024" s="5">
        <f>ROUND(F1023+E1024,5)</f>
        <v>400000</v>
      </c>
    </row>
    <row r="1025" spans="1:6" x14ac:dyDescent="0.25">
      <c r="A1025" s="4" t="s">
        <v>892</v>
      </c>
      <c r="B1025" s="4" t="s">
        <v>170</v>
      </c>
      <c r="C1025" s="4"/>
      <c r="D1025" s="7">
        <v>45338</v>
      </c>
      <c r="E1025" s="5">
        <v>-200000</v>
      </c>
      <c r="F1025" s="5">
        <f>ROUND(F1024+E1025,5)</f>
        <v>200000</v>
      </c>
    </row>
    <row r="1026" spans="1:6" ht="15.75" thickBot="1" x14ac:dyDescent="0.3">
      <c r="A1026" s="4" t="s">
        <v>892</v>
      </c>
      <c r="B1026" s="4" t="s">
        <v>170</v>
      </c>
      <c r="C1026" s="4"/>
      <c r="D1026" s="7">
        <v>45436</v>
      </c>
      <c r="E1026" s="8">
        <v>-200000</v>
      </c>
      <c r="F1026" s="8">
        <f>ROUND(F1025+E1026,5)</f>
        <v>0</v>
      </c>
    </row>
    <row r="1027" spans="1:6" x14ac:dyDescent="0.25">
      <c r="A1027" s="2" t="s">
        <v>893</v>
      </c>
      <c r="B1027" s="2" t="s">
        <v>476</v>
      </c>
      <c r="C1027" s="2"/>
      <c r="D1027" s="6"/>
      <c r="E1027" s="3"/>
      <c r="F1027" s="3">
        <v>0</v>
      </c>
    </row>
    <row r="1028" spans="1:6" x14ac:dyDescent="0.25">
      <c r="A1028" s="4" t="s">
        <v>893</v>
      </c>
      <c r="B1028" s="4" t="s">
        <v>171</v>
      </c>
      <c r="C1028" s="4"/>
      <c r="D1028" s="7">
        <v>45306</v>
      </c>
      <c r="E1028" s="5">
        <v>300000</v>
      </c>
      <c r="F1028" s="5">
        <f>ROUND(F1027+E1028,5)</f>
        <v>300000</v>
      </c>
    </row>
    <row r="1029" spans="1:6" x14ac:dyDescent="0.25">
      <c r="A1029" s="4" t="s">
        <v>893</v>
      </c>
      <c r="B1029" s="4" t="s">
        <v>170</v>
      </c>
      <c r="C1029" s="4"/>
      <c r="D1029" s="7">
        <v>45370</v>
      </c>
      <c r="E1029" s="5">
        <v>-200000</v>
      </c>
      <c r="F1029" s="5">
        <f>ROUND(F1028+E1029,5)</f>
        <v>100000</v>
      </c>
    </row>
    <row r="1030" spans="1:6" ht="15.75" thickBot="1" x14ac:dyDescent="0.3">
      <c r="A1030" s="4" t="s">
        <v>893</v>
      </c>
      <c r="B1030" s="4" t="s">
        <v>170</v>
      </c>
      <c r="C1030" s="4"/>
      <c r="D1030" s="7">
        <v>45391</v>
      </c>
      <c r="E1030" s="8">
        <v>-100000</v>
      </c>
      <c r="F1030" s="8">
        <f>ROUND(F1029+E1030,5)</f>
        <v>0</v>
      </c>
    </row>
    <row r="1031" spans="1:6" x14ac:dyDescent="0.25">
      <c r="A1031" s="2" t="s">
        <v>894</v>
      </c>
      <c r="B1031" s="2" t="s">
        <v>477</v>
      </c>
      <c r="C1031" s="2"/>
      <c r="D1031" s="6"/>
      <c r="E1031" s="3"/>
      <c r="F1031" s="3">
        <v>-14875</v>
      </c>
    </row>
    <row r="1032" spans="1:6" x14ac:dyDescent="0.25">
      <c r="A1032" s="2" t="s">
        <v>733</v>
      </c>
      <c r="B1032" s="2" t="s">
        <v>478</v>
      </c>
      <c r="C1032" s="2"/>
      <c r="D1032" s="6"/>
      <c r="E1032" s="3"/>
      <c r="F1032" s="3">
        <v>800000</v>
      </c>
    </row>
    <row r="1033" spans="1:6" x14ac:dyDescent="0.25">
      <c r="A1033" s="2" t="s">
        <v>895</v>
      </c>
      <c r="B1033" s="2" t="s">
        <v>479</v>
      </c>
      <c r="C1033" s="2"/>
      <c r="D1033" s="6"/>
      <c r="E1033" s="3"/>
      <c r="F1033" s="3">
        <v>790000</v>
      </c>
    </row>
    <row r="1034" spans="1:6" x14ac:dyDescent="0.25">
      <c r="A1034" s="2" t="s">
        <v>896</v>
      </c>
      <c r="B1034" s="2" t="s">
        <v>480</v>
      </c>
      <c r="C1034" s="2"/>
      <c r="D1034" s="6"/>
      <c r="E1034" s="3"/>
      <c r="F1034" s="3">
        <v>0</v>
      </c>
    </row>
    <row r="1035" spans="1:6" x14ac:dyDescent="0.25">
      <c r="A1035" s="4" t="s">
        <v>896</v>
      </c>
      <c r="B1035" s="4" t="s">
        <v>171</v>
      </c>
      <c r="C1035" s="4"/>
      <c r="D1035" s="7">
        <v>45306</v>
      </c>
      <c r="E1035" s="5">
        <v>300000</v>
      </c>
      <c r="F1035" s="5">
        <f>ROUND(F1034+E1035,5)</f>
        <v>300000</v>
      </c>
    </row>
    <row r="1036" spans="1:6" x14ac:dyDescent="0.25">
      <c r="A1036" s="4" t="s">
        <v>896</v>
      </c>
      <c r="B1036" s="4" t="s">
        <v>170</v>
      </c>
      <c r="C1036" s="4"/>
      <c r="D1036" s="7">
        <v>45370</v>
      </c>
      <c r="E1036" s="5">
        <v>-200000</v>
      </c>
      <c r="F1036" s="5">
        <f>ROUND(F1035+E1036,5)</f>
        <v>100000</v>
      </c>
    </row>
    <row r="1037" spans="1:6" ht="15.75" thickBot="1" x14ac:dyDescent="0.3">
      <c r="A1037" s="4" t="s">
        <v>896</v>
      </c>
      <c r="B1037" s="4" t="s">
        <v>170</v>
      </c>
      <c r="C1037" s="4"/>
      <c r="D1037" s="7">
        <v>45391</v>
      </c>
      <c r="E1037" s="8">
        <v>-100000</v>
      </c>
      <c r="F1037" s="8">
        <f>ROUND(F1036+E1037,5)</f>
        <v>0</v>
      </c>
    </row>
    <row r="1038" spans="1:6" x14ac:dyDescent="0.25">
      <c r="A1038" s="2" t="s">
        <v>897</v>
      </c>
      <c r="B1038" s="2" t="s">
        <v>481</v>
      </c>
      <c r="C1038" s="2"/>
      <c r="D1038" s="6"/>
      <c r="E1038" s="3"/>
      <c r="F1038" s="3">
        <v>190422</v>
      </c>
    </row>
    <row r="1039" spans="1:6" x14ac:dyDescent="0.25">
      <c r="A1039" s="4" t="s">
        <v>897</v>
      </c>
      <c r="B1039" s="4" t="s">
        <v>171</v>
      </c>
      <c r="C1039" s="4"/>
      <c r="D1039" s="7">
        <v>45322</v>
      </c>
      <c r="E1039" s="5">
        <v>652500</v>
      </c>
      <c r="F1039" s="5">
        <f t="shared" ref="F1039:F1044" si="3">ROUND(F1038+E1039,5)</f>
        <v>842922</v>
      </c>
    </row>
    <row r="1040" spans="1:6" x14ac:dyDescent="0.25">
      <c r="A1040" s="4" t="s">
        <v>897</v>
      </c>
      <c r="B1040" s="4" t="s">
        <v>170</v>
      </c>
      <c r="C1040" s="4"/>
      <c r="D1040" s="7">
        <v>45382</v>
      </c>
      <c r="E1040" s="5">
        <v>-7000</v>
      </c>
      <c r="F1040" s="5">
        <f t="shared" si="3"/>
        <v>835922</v>
      </c>
    </row>
    <row r="1041" spans="1:6" x14ac:dyDescent="0.25">
      <c r="A1041" s="4" t="s">
        <v>897</v>
      </c>
      <c r="B1041" s="4" t="s">
        <v>170</v>
      </c>
      <c r="C1041" s="4"/>
      <c r="D1041" s="7">
        <v>45383</v>
      </c>
      <c r="E1041" s="5">
        <v>-125422</v>
      </c>
      <c r="F1041" s="5">
        <f t="shared" si="3"/>
        <v>710500</v>
      </c>
    </row>
    <row r="1042" spans="1:6" x14ac:dyDescent="0.25">
      <c r="A1042" s="4" t="s">
        <v>897</v>
      </c>
      <c r="B1042" s="4" t="s">
        <v>170</v>
      </c>
      <c r="C1042" s="4"/>
      <c r="D1042" s="7">
        <v>45383</v>
      </c>
      <c r="E1042" s="5">
        <v>-65000</v>
      </c>
      <c r="F1042" s="5">
        <f t="shared" si="3"/>
        <v>645500</v>
      </c>
    </row>
    <row r="1043" spans="1:6" x14ac:dyDescent="0.25">
      <c r="A1043" s="4" t="s">
        <v>897</v>
      </c>
      <c r="B1043" s="4" t="s">
        <v>170</v>
      </c>
      <c r="C1043" s="4"/>
      <c r="D1043" s="7">
        <v>45384</v>
      </c>
      <c r="E1043" s="5">
        <v>-28000</v>
      </c>
      <c r="F1043" s="5">
        <f t="shared" si="3"/>
        <v>617500</v>
      </c>
    </row>
    <row r="1044" spans="1:6" ht="15.75" thickBot="1" x14ac:dyDescent="0.3">
      <c r="A1044" s="4" t="s">
        <v>897</v>
      </c>
      <c r="B1044" s="4" t="s">
        <v>172</v>
      </c>
      <c r="C1044" s="4"/>
      <c r="D1044" s="7">
        <v>45386</v>
      </c>
      <c r="E1044" s="8">
        <v>-617500</v>
      </c>
      <c r="F1044" s="8">
        <f t="shared" si="3"/>
        <v>0</v>
      </c>
    </row>
    <row r="1045" spans="1:6" x14ac:dyDescent="0.25">
      <c r="A1045" s="2" t="s">
        <v>898</v>
      </c>
      <c r="B1045" s="2" t="s">
        <v>482</v>
      </c>
      <c r="C1045" s="2"/>
      <c r="D1045" s="6"/>
      <c r="E1045" s="3"/>
      <c r="F1045" s="3">
        <v>202005</v>
      </c>
    </row>
    <row r="1046" spans="1:6" x14ac:dyDescent="0.25">
      <c r="A1046" s="2" t="s">
        <v>899</v>
      </c>
      <c r="B1046" s="2" t="s">
        <v>483</v>
      </c>
      <c r="C1046" s="2"/>
      <c r="D1046" s="6"/>
      <c r="E1046" s="3"/>
      <c r="F1046" s="3">
        <v>600000</v>
      </c>
    </row>
    <row r="1047" spans="1:6" x14ac:dyDescent="0.25">
      <c r="A1047" s="4" t="s">
        <v>899</v>
      </c>
      <c r="B1047" s="4" t="s">
        <v>171</v>
      </c>
      <c r="C1047" s="4"/>
      <c r="D1047" s="7">
        <v>45306</v>
      </c>
      <c r="E1047" s="5">
        <v>300000</v>
      </c>
      <c r="F1047" s="5">
        <f>ROUND(F1046+E1047,5)</f>
        <v>900000</v>
      </c>
    </row>
    <row r="1048" spans="1:6" x14ac:dyDescent="0.25">
      <c r="A1048" s="4" t="s">
        <v>899</v>
      </c>
      <c r="B1048" s="4" t="s">
        <v>170</v>
      </c>
      <c r="C1048" s="4"/>
      <c r="D1048" s="7">
        <v>45329</v>
      </c>
      <c r="E1048" s="5">
        <v>-100000</v>
      </c>
      <c r="F1048" s="5">
        <f>ROUND(F1047+E1048,5)</f>
        <v>800000</v>
      </c>
    </row>
    <row r="1049" spans="1:6" x14ac:dyDescent="0.25">
      <c r="A1049" s="4" t="s">
        <v>899</v>
      </c>
      <c r="B1049" s="4" t="s">
        <v>170</v>
      </c>
      <c r="C1049" s="4"/>
      <c r="D1049" s="7">
        <v>45338</v>
      </c>
      <c r="E1049" s="5">
        <v>-200000</v>
      </c>
      <c r="F1049" s="5">
        <f>ROUND(F1048+E1049,5)</f>
        <v>600000</v>
      </c>
    </row>
    <row r="1050" spans="1:6" x14ac:dyDescent="0.25">
      <c r="A1050" s="4" t="s">
        <v>899</v>
      </c>
      <c r="B1050" s="4" t="s">
        <v>170</v>
      </c>
      <c r="C1050" s="4"/>
      <c r="D1050" s="7">
        <v>45341</v>
      </c>
      <c r="E1050" s="5">
        <v>-100000</v>
      </c>
      <c r="F1050" s="5">
        <f>ROUND(F1049+E1050,5)</f>
        <v>500000</v>
      </c>
    </row>
    <row r="1051" spans="1:6" ht="15.75" thickBot="1" x14ac:dyDescent="0.3">
      <c r="A1051" s="4" t="s">
        <v>899</v>
      </c>
      <c r="B1051" s="4" t="s">
        <v>170</v>
      </c>
      <c r="C1051" s="4"/>
      <c r="D1051" s="7">
        <v>45371</v>
      </c>
      <c r="E1051" s="8">
        <v>-50000</v>
      </c>
      <c r="F1051" s="8">
        <f>ROUND(F1050+E1051,5)</f>
        <v>450000</v>
      </c>
    </row>
    <row r="1052" spans="1:6" x14ac:dyDescent="0.25">
      <c r="A1052" s="2" t="s">
        <v>900</v>
      </c>
      <c r="B1052" s="2" t="s">
        <v>484</v>
      </c>
      <c r="C1052" s="2"/>
      <c r="D1052" s="6"/>
      <c r="E1052" s="3"/>
      <c r="F1052" s="3">
        <v>50000</v>
      </c>
    </row>
    <row r="1053" spans="1:6" x14ac:dyDescent="0.25">
      <c r="A1053" s="4" t="s">
        <v>900</v>
      </c>
      <c r="B1053" s="4" t="s">
        <v>170</v>
      </c>
      <c r="C1053" s="4"/>
      <c r="D1053" s="7">
        <v>45306</v>
      </c>
      <c r="E1053" s="5">
        <v>-50000</v>
      </c>
      <c r="F1053" s="5">
        <f>ROUND(F1052+E1053,5)</f>
        <v>0</v>
      </c>
    </row>
    <row r="1054" spans="1:6" x14ac:dyDescent="0.25">
      <c r="A1054" s="4" t="s">
        <v>900</v>
      </c>
      <c r="B1054" s="4" t="s">
        <v>171</v>
      </c>
      <c r="C1054" s="4"/>
      <c r="D1054" s="7">
        <v>45322</v>
      </c>
      <c r="E1054" s="5">
        <v>300000</v>
      </c>
      <c r="F1054" s="5">
        <f>ROUND(F1053+E1054,5)</f>
        <v>300000</v>
      </c>
    </row>
    <row r="1055" spans="1:6" x14ac:dyDescent="0.25">
      <c r="A1055" s="4" t="s">
        <v>900</v>
      </c>
      <c r="B1055" s="4" t="s">
        <v>170</v>
      </c>
      <c r="C1055" s="4"/>
      <c r="D1055" s="7">
        <v>45371</v>
      </c>
      <c r="E1055" s="5">
        <v>-150000</v>
      </c>
      <c r="F1055" s="5">
        <f>ROUND(F1054+E1055,5)</f>
        <v>150000</v>
      </c>
    </row>
    <row r="1056" spans="1:6" ht="15.75" thickBot="1" x14ac:dyDescent="0.3">
      <c r="A1056" s="4" t="s">
        <v>900</v>
      </c>
      <c r="B1056" s="4" t="s">
        <v>170</v>
      </c>
      <c r="C1056" s="4"/>
      <c r="D1056" s="7">
        <v>45433</v>
      </c>
      <c r="E1056" s="8">
        <v>-50000</v>
      </c>
      <c r="F1056" s="8">
        <f>ROUND(F1055+E1056,5)</f>
        <v>100000</v>
      </c>
    </row>
    <row r="1057" spans="1:6" x14ac:dyDescent="0.25">
      <c r="A1057" s="2" t="s">
        <v>901</v>
      </c>
      <c r="B1057" s="2" t="s">
        <v>485</v>
      </c>
      <c r="C1057" s="2"/>
      <c r="D1057" s="6"/>
      <c r="E1057" s="3"/>
      <c r="F1057" s="3">
        <v>0</v>
      </c>
    </row>
    <row r="1058" spans="1:6" x14ac:dyDescent="0.25">
      <c r="A1058" s="4" t="s">
        <v>901</v>
      </c>
      <c r="B1058" s="4" t="s">
        <v>171</v>
      </c>
      <c r="C1058" s="4"/>
      <c r="D1058" s="7">
        <v>45306</v>
      </c>
      <c r="E1058" s="5">
        <v>300000</v>
      </c>
      <c r="F1058" s="5">
        <f>ROUND(F1057+E1058,5)</f>
        <v>300000</v>
      </c>
    </row>
    <row r="1059" spans="1:6" ht="15.75" thickBot="1" x14ac:dyDescent="0.3">
      <c r="A1059" s="4" t="s">
        <v>901</v>
      </c>
      <c r="B1059" s="4" t="s">
        <v>172</v>
      </c>
      <c r="C1059" s="4"/>
      <c r="D1059" s="7">
        <v>45322</v>
      </c>
      <c r="E1059" s="8">
        <v>-300000</v>
      </c>
      <c r="F1059" s="8">
        <f>ROUND(F1058+E1059,5)</f>
        <v>0</v>
      </c>
    </row>
    <row r="1060" spans="1:6" x14ac:dyDescent="0.25">
      <c r="A1060" s="2" t="s">
        <v>902</v>
      </c>
      <c r="B1060" s="2" t="s">
        <v>486</v>
      </c>
      <c r="C1060" s="2"/>
      <c r="D1060" s="6"/>
      <c r="E1060" s="3"/>
      <c r="F1060" s="3">
        <v>0</v>
      </c>
    </row>
    <row r="1061" spans="1:6" ht="15.75" thickBot="1" x14ac:dyDescent="0.3">
      <c r="A1061" s="1" t="s">
        <v>902</v>
      </c>
      <c r="B1061" s="4" t="s">
        <v>171</v>
      </c>
      <c r="C1061" s="4"/>
      <c r="D1061" s="7">
        <v>45306</v>
      </c>
      <c r="E1061" s="8">
        <v>300000</v>
      </c>
      <c r="F1061" s="8">
        <f>ROUND(F1060+E1061,5)</f>
        <v>300000</v>
      </c>
    </row>
    <row r="1062" spans="1:6" x14ac:dyDescent="0.25">
      <c r="A1062" s="2" t="s">
        <v>903</v>
      </c>
      <c r="B1062" s="2" t="s">
        <v>487</v>
      </c>
      <c r="C1062" s="2"/>
      <c r="D1062" s="6"/>
      <c r="E1062" s="3"/>
      <c r="F1062" s="3">
        <v>0</v>
      </c>
    </row>
    <row r="1063" spans="1:6" x14ac:dyDescent="0.25">
      <c r="A1063" s="2" t="s">
        <v>904</v>
      </c>
      <c r="B1063" s="2" t="s">
        <v>488</v>
      </c>
      <c r="C1063" s="2"/>
      <c r="D1063" s="6"/>
      <c r="E1063" s="3"/>
      <c r="F1063" s="3">
        <v>270000</v>
      </c>
    </row>
    <row r="1064" spans="1:6" ht="15.75" thickBot="1" x14ac:dyDescent="0.3">
      <c r="A1064" s="1" t="s">
        <v>904</v>
      </c>
      <c r="B1064" s="4" t="s">
        <v>171</v>
      </c>
      <c r="C1064" s="4"/>
      <c r="D1064" s="7">
        <v>45322</v>
      </c>
      <c r="E1064" s="8">
        <v>65000</v>
      </c>
      <c r="F1064" s="8">
        <f>ROUND(F1063+E1064,5)</f>
        <v>335000</v>
      </c>
    </row>
    <row r="1065" spans="1:6" x14ac:dyDescent="0.25">
      <c r="A1065" s="2" t="s">
        <v>905</v>
      </c>
      <c r="B1065" s="2" t="s">
        <v>489</v>
      </c>
      <c r="C1065" s="2"/>
      <c r="D1065" s="6"/>
      <c r="E1065" s="3"/>
      <c r="F1065" s="3">
        <v>625000</v>
      </c>
    </row>
    <row r="1066" spans="1:6" ht="15.75" thickBot="1" x14ac:dyDescent="0.3">
      <c r="A1066" s="1" t="s">
        <v>905</v>
      </c>
      <c r="B1066" s="4" t="s">
        <v>170</v>
      </c>
      <c r="C1066" s="4"/>
      <c r="D1066" s="7">
        <v>45370</v>
      </c>
      <c r="E1066" s="5">
        <v>-625000</v>
      </c>
      <c r="F1066" s="5">
        <f>ROUND(F1065+E1066,5)</f>
        <v>0</v>
      </c>
    </row>
    <row r="1067" spans="1:6" s="10" customFormat="1" ht="12" thickBot="1" x14ac:dyDescent="0.25">
      <c r="A1067" s="2" t="s">
        <v>490</v>
      </c>
      <c r="B1067" s="2"/>
      <c r="C1067" s="2"/>
      <c r="D1067" s="6"/>
      <c r="E1067" s="9" t="e">
        <f>ROUND(#REF!+#REF!+E6+#REF!+#REF!+#REF!+#REF!+E18+E20+E23+E27+E29+E32+E36+E40+E44+E48+E52+E56+E60+E64+E68+E72+E76+E78+E89+E94+E96+E104+E106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E890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,5)</f>
        <v>#REF!</v>
      </c>
      <c r="F1067" s="9" t="e">
        <f>ROUND(#REF!+#REF!+F6+#REF!+#REF!+#REF!+#REF!+F18+F20+F23+F27+F29+F32+F36+F40+F44+F48+F52+F56+F60+F64+F68+F72+F76+F78+F89+F94+F96+F104+F106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F890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,5)</f>
        <v>#REF!</v>
      </c>
    </row>
    <row r="1068" spans="1:6" ht="15.75" thickTop="1" x14ac:dyDescent="0.25"/>
  </sheetData>
  <pageMargins left="0.7" right="0.7" top="0.75" bottom="0.75" header="0.1" footer="0.3"/>
  <pageSetup orientation="portrait" r:id="rId1"/>
  <headerFooter>
    <oddHeader>&amp;L&amp;"Arial,Bold"&amp;8 12:56 PM
&amp;"Arial,Bold"&amp;8 06/10/24
&amp;"Arial,Bold"&amp;8 &amp;C&amp;"Arial,Bold"&amp;12 ACT - ACCOUNTS &amp;&amp; FINANCE
&amp;"Arial,Bold"&amp;14 Customer Balance Detail
&amp;"Arial,Bold"&amp;10 As of May 31, 2024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28575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28575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ITEC LTD</cp:lastModifiedBy>
  <dcterms:created xsi:type="dcterms:W3CDTF">2024-06-10T10:56:12Z</dcterms:created>
  <dcterms:modified xsi:type="dcterms:W3CDTF">2024-06-12T14:16:00Z</dcterms:modified>
</cp:coreProperties>
</file>